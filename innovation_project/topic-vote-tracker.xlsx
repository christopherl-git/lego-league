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leig\projects\Lego\innovation_project\"/>
    </mc:Choice>
  </mc:AlternateContent>
  <xr:revisionPtr revIDLastSave="0" documentId="13_ncr:1_{2D16237E-E5B9-44A3-A0E2-4F6295D75213}" xr6:coauthVersionLast="47" xr6:coauthVersionMax="47" xr10:uidLastSave="{00000000-0000-0000-0000-000000000000}"/>
  <bookViews>
    <workbookView xWindow="-103" yWindow="-103" windowWidth="27634" windowHeight="16629" activeTab="1" xr2:uid="{00000000-000D-0000-FFFF-FFFF00000000}"/>
  </bookViews>
  <sheets>
    <sheet name="Votes" sheetId="1" r:id="rId1"/>
    <sheet name="Tal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13" i="1"/>
  <c r="E12" i="1"/>
  <c r="E11" i="1"/>
  <c r="E10" i="1"/>
  <c r="E9" i="1"/>
  <c r="E8" i="1"/>
  <c r="E7" i="1"/>
  <c r="E6" i="1"/>
  <c r="E5" i="1"/>
  <c r="F7" i="2" l="1"/>
  <c r="D12" i="2"/>
  <c r="F6" i="2"/>
  <c r="F8" i="2"/>
  <c r="B15" i="1"/>
  <c r="F10" i="2"/>
  <c r="F9" i="2"/>
  <c r="E12" i="2"/>
  <c r="C12" i="2"/>
  <c r="F5" i="2"/>
  <c r="G7" i="2" l="1"/>
  <c r="G6" i="2"/>
  <c r="G8" i="2"/>
  <c r="G9" i="2"/>
  <c r="G10" i="2"/>
  <c r="G5" i="2"/>
  <c r="F12" i="2"/>
  <c r="B14" i="2" l="1"/>
  <c r="B15" i="2"/>
  <c r="B16" i="2"/>
</calcChain>
</file>

<file path=xl/sharedStrings.xml><?xml version="1.0" encoding="utf-8"?>
<sst xmlns="http://schemas.openxmlformats.org/spreadsheetml/2006/main" count="78" uniqueCount="43">
  <si>
    <t>Innovation Project Topic Vote</t>
  </si>
  <si>
    <t>How to vote: each student picks 3 different topics from the dropdowns. 1st choice = 3 points, 2nd = 2, 3rd = 1. Fill only the yellow cells. Voter names in blue can be edited (Fedor, Ira, Jordan are assumed from the 2026-09-29 notes; change if wrong).</t>
  </si>
  <si>
    <t>Voter</t>
  </si>
  <si>
    <t>1st choice (3 pts)</t>
  </si>
  <si>
    <t>2nd choice (2 pts)</t>
  </si>
  <si>
    <t>3rd choice (1 pt)</t>
  </si>
  <si>
    <t>Check</t>
  </si>
  <si>
    <t>Alexis</t>
  </si>
  <si>
    <t>Amelia</t>
  </si>
  <si>
    <t>Sylvie</t>
  </si>
  <si>
    <t>Ella</t>
  </si>
  <si>
    <t>Brynn</t>
  </si>
  <si>
    <t>Jack</t>
  </si>
  <si>
    <t>Fedor</t>
  </si>
  <si>
    <t>Ira</t>
  </si>
  <si>
    <t>Jordan</t>
  </si>
  <si>
    <t>Ballots complete:</t>
  </si>
  <si>
    <t>Vote Tally</t>
  </si>
  <si>
    <t>Points per choice (edit to change scoring):</t>
  </si>
  <si>
    <t>1st / 2nd / 3rd:</t>
  </si>
  <si>
    <t>Topic</t>
  </si>
  <si>
    <t>Presenter</t>
  </si>
  <si>
    <t>1st-choice votes</t>
  </si>
  <si>
    <t>2nd-choice votes</t>
  </si>
  <si>
    <t>3rd-choice votes</t>
  </si>
  <si>
    <t>Total points</t>
  </si>
  <si>
    <t>Rank</t>
  </si>
  <si>
    <t>Source</t>
  </si>
  <si>
    <t>Ocean acidification</t>
  </si>
  <si>
    <t>NOAA</t>
  </si>
  <si>
    <t>Animals in captivity</t>
  </si>
  <si>
    <t>In Defense of Animals, World Animals Protection</t>
  </si>
  <si>
    <t>Human-made wildfires</t>
  </si>
  <si>
    <t>CBC</t>
  </si>
  <si>
    <t>Pollution</t>
  </si>
  <si>
    <t>None yet</t>
  </si>
  <si>
    <t>Light pollution</t>
  </si>
  <si>
    <t>Invasive species</t>
  </si>
  <si>
    <t>Total</t>
  </si>
  <si>
    <t>WINNER</t>
  </si>
  <si>
    <t>Winner's presenter</t>
  </si>
  <si>
    <t>Winner has a source?</t>
  </si>
  <si>
    <t>Notes: Source column comes from the 2026-10-06 presentations. Edit it as sources are found. Tie-break rule: runoff by show of hands between tied topics.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</si>
</sst>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b/>
      <sz val="11"/>
      <name val="Arial"/>
    </font>
    <font>
      <b/>
      <sz val="12"/>
      <name val="Arial"/>
    </font>
    <font>
      <b/>
      <sz val="12"/>
      <color rgb="FFC00000"/>
      <name val="Arial"/>
    </font>
    <font>
      <i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0" fontId="2" fillId="3" borderId="1" xfId="0" applyFont="1" applyFill="1" applyBorder="1"/>
    <xf numFmtId="0" fontId="2" fillId="0" borderId="1" xfId="0" applyFont="1" applyBorder="1"/>
    <xf numFmtId="0" fontId="5" fillId="0" borderId="0" xfId="0" applyFont="1"/>
    <xf numFmtId="0" fontId="2" fillId="0" borderId="0" xfId="0" applyFont="1"/>
    <xf numFmtId="0" fontId="4" fillId="3" borderId="1" xfId="0" applyFont="1" applyFill="1" applyBorder="1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vertical="top" wrapText="1"/>
    </xf>
    <xf numFmtId="0" fontId="0" fillId="0" borderId="0" xfId="0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1">
    <dxf>
      <fill>
        <patternFill patternType="solid"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D8" sqref="D8"/>
    </sheetView>
  </sheetViews>
  <sheetFormatPr defaultRowHeight="14.6" x14ac:dyDescent="0.4"/>
  <cols>
    <col min="1" max="1" width="16" customWidth="1"/>
    <col min="2" max="4" width="24" customWidth="1"/>
    <col min="5" max="5" width="16" customWidth="1"/>
  </cols>
  <sheetData>
    <row r="1" spans="1:5" ht="17.600000000000001" x14ac:dyDescent="0.4">
      <c r="A1" s="1" t="s">
        <v>0</v>
      </c>
    </row>
    <row r="2" spans="1:5" ht="48" customHeight="1" x14ac:dyDescent="0.4">
      <c r="A2" s="12" t="s">
        <v>1</v>
      </c>
      <c r="B2" s="13"/>
      <c r="C2" s="13"/>
      <c r="D2" s="13"/>
      <c r="E2" s="13"/>
    </row>
    <row r="4" spans="1:5" x14ac:dyDescent="0.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4">
      <c r="A5" s="3" t="s">
        <v>7</v>
      </c>
      <c r="B5" s="4" t="s">
        <v>28</v>
      </c>
      <c r="C5" s="4" t="s">
        <v>30</v>
      </c>
      <c r="D5" s="4" t="s">
        <v>37</v>
      </c>
      <c r="E5" s="5" t="str">
        <f t="shared" ref="E5:E13" si="0">IF(COUNTA(B5:D5)=0,"Waiting",IF(COUNTA(B5:D5)&lt;3,"Incomplete",IF(OR(B5=C5,B5=D5,C5=D5),"Duplicate pick","OK")))</f>
        <v>OK</v>
      </c>
    </row>
    <row r="6" spans="1:5" x14ac:dyDescent="0.4">
      <c r="A6" s="3" t="s">
        <v>8</v>
      </c>
      <c r="B6" s="4" t="s">
        <v>30</v>
      </c>
      <c r="C6" s="4" t="s">
        <v>28</v>
      </c>
      <c r="D6" s="4" t="s">
        <v>32</v>
      </c>
      <c r="E6" s="5" t="str">
        <f t="shared" si="0"/>
        <v>OK</v>
      </c>
    </row>
    <row r="7" spans="1:5" x14ac:dyDescent="0.4">
      <c r="A7" s="3" t="s">
        <v>9</v>
      </c>
      <c r="B7" s="4" t="s">
        <v>32</v>
      </c>
      <c r="C7" s="4" t="s">
        <v>37</v>
      </c>
      <c r="D7" s="4" t="s">
        <v>30</v>
      </c>
      <c r="E7" s="5" t="str">
        <f t="shared" si="0"/>
        <v>OK</v>
      </c>
    </row>
    <row r="8" spans="1:5" x14ac:dyDescent="0.4">
      <c r="A8" s="3" t="s">
        <v>10</v>
      </c>
      <c r="B8" s="4" t="s">
        <v>34</v>
      </c>
      <c r="C8" s="4" t="s">
        <v>30</v>
      </c>
      <c r="D8" s="4" t="s">
        <v>37</v>
      </c>
      <c r="E8" s="5" t="str">
        <f t="shared" si="0"/>
        <v>OK</v>
      </c>
    </row>
    <row r="9" spans="1:5" x14ac:dyDescent="0.4">
      <c r="A9" s="3" t="s">
        <v>11</v>
      </c>
      <c r="B9" s="4" t="s">
        <v>36</v>
      </c>
      <c r="C9" s="4" t="s">
        <v>28</v>
      </c>
      <c r="D9" s="4" t="s">
        <v>30</v>
      </c>
      <c r="E9" s="5" t="str">
        <f t="shared" si="0"/>
        <v>OK</v>
      </c>
    </row>
    <row r="10" spans="1:5" x14ac:dyDescent="0.4">
      <c r="A10" s="3" t="s">
        <v>12</v>
      </c>
      <c r="B10" s="4" t="s">
        <v>37</v>
      </c>
      <c r="C10" s="4" t="s">
        <v>28</v>
      </c>
      <c r="D10" s="4" t="s">
        <v>36</v>
      </c>
      <c r="E10" s="5" t="str">
        <f t="shared" si="0"/>
        <v>OK</v>
      </c>
    </row>
    <row r="11" spans="1:5" x14ac:dyDescent="0.4">
      <c r="A11" s="3" t="s">
        <v>13</v>
      </c>
      <c r="B11" s="4" t="s">
        <v>37</v>
      </c>
      <c r="C11" s="4" t="s">
        <v>28</v>
      </c>
      <c r="D11" s="4" t="s">
        <v>34</v>
      </c>
      <c r="E11" s="5" t="str">
        <f t="shared" si="0"/>
        <v>OK</v>
      </c>
    </row>
    <row r="12" spans="1:5" x14ac:dyDescent="0.4">
      <c r="A12" s="3" t="s">
        <v>14</v>
      </c>
      <c r="B12" s="4" t="s">
        <v>37</v>
      </c>
      <c r="C12" s="4" t="s">
        <v>30</v>
      </c>
      <c r="D12" s="4" t="s">
        <v>28</v>
      </c>
      <c r="E12" s="5" t="str">
        <f t="shared" si="0"/>
        <v>OK</v>
      </c>
    </row>
    <row r="13" spans="1:5" x14ac:dyDescent="0.4">
      <c r="A13" s="3" t="s">
        <v>15</v>
      </c>
      <c r="B13" s="4" t="s">
        <v>37</v>
      </c>
      <c r="C13" s="4" t="s">
        <v>32</v>
      </c>
      <c r="D13" s="4" t="s">
        <v>30</v>
      </c>
      <c r="E13" s="5" t="str">
        <f t="shared" si="0"/>
        <v>OK</v>
      </c>
    </row>
    <row r="15" spans="1:5" x14ac:dyDescent="0.4">
      <c r="A15" s="6" t="s">
        <v>16</v>
      </c>
      <c r="B15" s="7" t="str">
        <f>COUNTIF(E5:E13,"OK")&amp;" of "&amp;COUNTA(A5:A13)</f>
        <v>9 of 9</v>
      </c>
    </row>
  </sheetData>
  <mergeCells count="1">
    <mergeCell ref="A2:E2"/>
  </mergeCells>
  <conditionalFormatting sqref="E5:E13">
    <cfRule type="expression" dxfId="0" priority="1">
      <formula>OR(E5="Duplicate pick",E5="Incomplete")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Pick a listed topic" error="Choose one of the six topics from the list." xr:uid="{00000000-0002-0000-0000-000000000000}">
          <x14:formula1>
            <xm:f>Tally!$A$5:$A$10</xm:f>
          </x14:formula1>
          <xm:sqref>B5:D13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>
      <selection activeCell="F10" sqref="F10"/>
    </sheetView>
  </sheetViews>
  <sheetFormatPr defaultRowHeight="14.6" x14ac:dyDescent="0.4"/>
  <cols>
    <col min="1" max="1" width="24" customWidth="1"/>
    <col min="2" max="2" width="16" customWidth="1"/>
    <col min="3" max="5" width="14" customWidth="1"/>
    <col min="6" max="6" width="13" customWidth="1"/>
    <col min="7" max="7" width="8" customWidth="1"/>
    <col min="8" max="8" width="44" customWidth="1"/>
  </cols>
  <sheetData>
    <row r="1" spans="1:8" ht="17.600000000000001" x14ac:dyDescent="0.4">
      <c r="A1" s="1" t="s">
        <v>17</v>
      </c>
    </row>
    <row r="2" spans="1:8" x14ac:dyDescent="0.4">
      <c r="A2" s="7" t="s">
        <v>18</v>
      </c>
    </row>
    <row r="3" spans="1:8" x14ac:dyDescent="0.4">
      <c r="A3" s="7" t="s">
        <v>19</v>
      </c>
      <c r="B3" s="8">
        <v>3</v>
      </c>
      <c r="C3" s="8">
        <v>2</v>
      </c>
      <c r="D3" s="8">
        <v>1</v>
      </c>
    </row>
    <row r="4" spans="1:8" ht="32.049999999999997" customHeight="1" x14ac:dyDescent="0.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</row>
    <row r="5" spans="1:8" x14ac:dyDescent="0.4">
      <c r="A5" s="5" t="s">
        <v>28</v>
      </c>
      <c r="B5" s="5" t="s">
        <v>7</v>
      </c>
      <c r="C5" s="9">
        <f>COUNTIF(Votes!$B$5:$B$13,$A5)</f>
        <v>1</v>
      </c>
      <c r="D5" s="9">
        <f>COUNTIF(Votes!$C$5:$C$13,$A5)</f>
        <v>4</v>
      </c>
      <c r="E5" s="9">
        <f>COUNTIF(Votes!$D$5:$D$13,$A5)</f>
        <v>1</v>
      </c>
      <c r="F5" s="9">
        <f t="shared" ref="F5:F10" si="0">C5*$B$3+D5*$C$3+E5*$D$3</f>
        <v>12</v>
      </c>
      <c r="G5" s="9">
        <f t="shared" ref="G5:G10" si="1">RANK(F5,$F$5:$F$10)</f>
        <v>2</v>
      </c>
      <c r="H5" s="5" t="s">
        <v>29</v>
      </c>
    </row>
    <row r="6" spans="1:8" x14ac:dyDescent="0.4">
      <c r="A6" s="5" t="s">
        <v>30</v>
      </c>
      <c r="B6" s="5" t="s">
        <v>8</v>
      </c>
      <c r="C6" s="9">
        <f>COUNTIF(Votes!$B$5:$B$13,$A6)</f>
        <v>1</v>
      </c>
      <c r="D6" s="9">
        <f>COUNTIF(Votes!$C$5:$C$13,$A6)</f>
        <v>3</v>
      </c>
      <c r="E6" s="9">
        <f>COUNTIF(Votes!$D$5:$D$13,$A6)</f>
        <v>3</v>
      </c>
      <c r="F6" s="9">
        <f t="shared" si="0"/>
        <v>12</v>
      </c>
      <c r="G6" s="9">
        <f t="shared" si="1"/>
        <v>2</v>
      </c>
      <c r="H6" s="5" t="s">
        <v>31</v>
      </c>
    </row>
    <row r="7" spans="1:8" x14ac:dyDescent="0.4">
      <c r="A7" s="5" t="s">
        <v>32</v>
      </c>
      <c r="B7" s="5" t="s">
        <v>9</v>
      </c>
      <c r="C7" s="9">
        <f>COUNTIF(Votes!$B$5:$B$13,$A7)</f>
        <v>1</v>
      </c>
      <c r="D7" s="9">
        <f>COUNTIF(Votes!$C$5:$C$13,$A7)</f>
        <v>1</v>
      </c>
      <c r="E7" s="9">
        <f>COUNTIF(Votes!$D$5:$D$13,$A7)</f>
        <v>1</v>
      </c>
      <c r="F7" s="9">
        <f t="shared" si="0"/>
        <v>6</v>
      </c>
      <c r="G7" s="9">
        <f t="shared" si="1"/>
        <v>4</v>
      </c>
      <c r="H7" s="5" t="s">
        <v>33</v>
      </c>
    </row>
    <row r="8" spans="1:8" x14ac:dyDescent="0.4">
      <c r="A8" s="5" t="s">
        <v>34</v>
      </c>
      <c r="B8" s="5" t="s">
        <v>10</v>
      </c>
      <c r="C8" s="9">
        <f>COUNTIF(Votes!$B$5:$B$13,$A8)</f>
        <v>1</v>
      </c>
      <c r="D8" s="9">
        <f>COUNTIF(Votes!$C$5:$C$13,$A8)</f>
        <v>0</v>
      </c>
      <c r="E8" s="9">
        <f>COUNTIF(Votes!$D$5:$D$13,$A8)</f>
        <v>1</v>
      </c>
      <c r="F8" s="9">
        <f t="shared" si="0"/>
        <v>4</v>
      </c>
      <c r="G8" s="9">
        <f t="shared" si="1"/>
        <v>5</v>
      </c>
      <c r="H8" s="5" t="s">
        <v>35</v>
      </c>
    </row>
    <row r="9" spans="1:8" x14ac:dyDescent="0.4">
      <c r="A9" s="5" t="s">
        <v>36</v>
      </c>
      <c r="B9" s="5" t="s">
        <v>11</v>
      </c>
      <c r="C9" s="9">
        <f>COUNTIF(Votes!$B$5:$B$13,$A9)</f>
        <v>1</v>
      </c>
      <c r="D9" s="9">
        <f>COUNTIF(Votes!$C$5:$C$13,$A9)</f>
        <v>0</v>
      </c>
      <c r="E9" s="9">
        <f>COUNTIF(Votes!$D$5:$D$13,$A9)</f>
        <v>1</v>
      </c>
      <c r="F9" s="9">
        <f t="shared" si="0"/>
        <v>4</v>
      </c>
      <c r="G9" s="9">
        <f t="shared" si="1"/>
        <v>5</v>
      </c>
      <c r="H9" s="5" t="s">
        <v>35</v>
      </c>
    </row>
    <row r="10" spans="1:8" x14ac:dyDescent="0.4">
      <c r="A10" s="5" t="s">
        <v>37</v>
      </c>
      <c r="B10" s="5" t="s">
        <v>12</v>
      </c>
      <c r="C10" s="9">
        <f>COUNTIF(Votes!$B$5:$B$13,$A10)</f>
        <v>4</v>
      </c>
      <c r="D10" s="9">
        <f>COUNTIF(Votes!$C$5:$C$13,$A10)</f>
        <v>1</v>
      </c>
      <c r="E10" s="9">
        <f>COUNTIF(Votes!$D$5:$D$13,$A10)</f>
        <v>2</v>
      </c>
      <c r="F10" s="9">
        <f t="shared" si="0"/>
        <v>16</v>
      </c>
      <c r="G10" s="9">
        <f t="shared" si="1"/>
        <v>1</v>
      </c>
      <c r="H10" s="5" t="s">
        <v>35</v>
      </c>
    </row>
    <row r="12" spans="1:8" x14ac:dyDescent="0.4">
      <c r="A12" s="6" t="s">
        <v>38</v>
      </c>
      <c r="C12" s="10">
        <f>SUM(C5:C10)</f>
        <v>9</v>
      </c>
      <c r="D12" s="10">
        <f>SUM(D5:D10)</f>
        <v>9</v>
      </c>
      <c r="E12" s="10">
        <f>SUM(E5:E10)</f>
        <v>9</v>
      </c>
      <c r="F12" s="10">
        <f>SUM(F5:F10)</f>
        <v>54</v>
      </c>
    </row>
    <row r="14" spans="1:8" ht="15.45" x14ac:dyDescent="0.4">
      <c r="A14" s="11" t="s">
        <v>39</v>
      </c>
      <c r="B14" s="15" t="str">
        <f>IF(F12=0,"No votes yet",IF(COUNTIF(F5:F10,MAX(F5:F10))&gt;1,"TIE - hold a runoff between the top topics",INDEX(A5:A10,MATCH(MAX(F5:F10),F5:F10,0))))</f>
        <v>Invasive species</v>
      </c>
      <c r="C14" s="13"/>
      <c r="D14" s="13"/>
    </row>
    <row r="15" spans="1:8" x14ac:dyDescent="0.4">
      <c r="A15" s="7" t="s">
        <v>40</v>
      </c>
      <c r="B15" s="7" t="str">
        <f>IF(OR(F12=0,COUNTIF(F5:F10,MAX(F5:F10))&gt;1),"",INDEX(B5:B10,MATCH(MAX(F5:F10),F5:F10,0)))</f>
        <v>Jack</v>
      </c>
    </row>
    <row r="16" spans="1:8" x14ac:dyDescent="0.4">
      <c r="A16" s="7" t="s">
        <v>41</v>
      </c>
      <c r="B16" s="7" t="str">
        <f>IF(OR(F12=0,COUNTIF(F5:F10,MAX(F5:F10))&gt;1),"",IF(INDEX(H5:H10,MATCH(MAX(F5:F10),F5:F10,0))="None yet","No - find one before next meeting","Yes"))</f>
        <v>No - find one before next meeting</v>
      </c>
    </row>
    <row r="18" spans="1:8" x14ac:dyDescent="0.4">
      <c r="A18" s="14" t="s">
        <v>42</v>
      </c>
      <c r="B18" s="13"/>
      <c r="C18" s="13"/>
      <c r="D18" s="13"/>
      <c r="E18" s="13"/>
      <c r="F18" s="13"/>
      <c r="G18" s="13"/>
      <c r="H18" s="13"/>
    </row>
  </sheetData>
  <mergeCells count="2">
    <mergeCell ref="A18:H18"/>
    <mergeCell ref="B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Votes</vt:lpstr>
      <vt:lpstr>Tally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Leigh</cp:lastModifiedBy>
  <dcterms:created xsi:type="dcterms:W3CDTF">2026-10-06T11:25:12Z</dcterms:created>
  <dcterms:modified xsi:type="dcterms:W3CDTF">2026-10-06T11:31:23Z</dcterms:modified>
</cp:coreProperties>
</file>