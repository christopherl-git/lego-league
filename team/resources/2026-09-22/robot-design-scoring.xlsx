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" sheetId="1" state="visible" r:id="rId3"/>
    <sheet name="Criteria Guide" sheetId="2" state="visible" r:id="rId4"/>
    <sheet name="Reference Sc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Type a whole number from 1 to 5.
See the Criteria Guide tab for what each score means.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Fully enclosed box robot, hub recessed, wheels internal. Textbook competitive shape.</t>
        </r>
      </text>
    </comment>
    <comment ref="B7" authorId="0">
      <text>
        <r>
          <rPr>
            <sz val="10"/>
            <rFont val="Arial"/>
            <family val="2"/>
          </rPr>
          <t xml:space="preserve">Dog-gear couplings engage without precise meshing, and TWO attachment motors mean some mission pairs need no swap at all.</t>
        </r>
      </text>
    </comment>
    <comment ref="B8" authorId="0">
      <text>
        <r>
          <rPr>
            <sz val="10"/>
            <rFont val="Arial"/>
            <family val="2"/>
          </rPr>
          <t xml:space="preserve">Best here by construction: the frame encloses the wheels, so the flat faces ARE the widest surfaces. Squares from any side.</t>
        </r>
      </text>
    </comment>
    <comment ref="B9" authorId="0">
      <text>
        <r>
          <rPr>
            <sz val="10"/>
            <rFont val="Arial"/>
            <family val="2"/>
          </rPr>
          <t xml:space="preserve">158 of 225 steps are framing. Effectively zero chassis flex, very low and planted.</t>
        </r>
      </text>
    </comment>
    <comment ref="B10" authorId="0">
      <text>
        <r>
          <rPr>
            <sz val="10"/>
            <rFont val="Arial"/>
            <family val="2"/>
          </rPr>
          <t xml:space="preserve">Biggest and heaviest of the four - worst in tight mission clusters.</t>
        </r>
      </text>
    </comment>
    <comment ref="B11" authorId="0">
      <text>
        <r>
          <rPr>
            <sz val="10"/>
            <rFont val="Arial"/>
            <family val="2"/>
          </rPr>
          <t xml:space="preserve">Rigid enclosed frame helps a lot; the rear ball caster is still a drift risk.</t>
        </r>
      </text>
    </comment>
    <comment ref="C6" authorId="0">
      <text>
        <r>
          <rPr>
            <sz val="10"/>
            <rFont val="Arial"/>
            <family val="2"/>
          </rPr>
          <t xml:space="preserve">Boxy and well proportioned, but a large footprint.</t>
        </r>
      </text>
    </comment>
    <comment ref="C7" authorId="0">
      <text>
        <r>
          <rPr>
            <sz val="10"/>
            <rFont val="Arial"/>
            <family val="2"/>
          </rPr>
          <t xml:space="preserve">Full-width glide-on bar - attachments slide on rather than being pinned piece by piece.</t>
        </r>
      </text>
    </comment>
    <comment ref="C8" authorId="0">
      <text>
        <r>
          <rPr>
            <sz val="10"/>
            <rFont val="Arial"/>
            <family val="2"/>
          </rPr>
          <t xml:space="preserve">Magenta perimeter frame gives genuine flat side and rear panels. Check the front-left wheel does not sit proud.</t>
        </r>
      </text>
    </comment>
    <comment ref="C9" authorId="0">
      <text>
        <r>
          <rPr>
            <sz val="10"/>
            <rFont val="Arial"/>
            <family val="2"/>
          </rPr>
          <t xml:space="preserve">Reinforced box frame; second only to Comp Bot for rigidity.</t>
        </r>
      </text>
    </comment>
    <comment ref="C10" authorId="0">
      <text>
        <r>
          <rPr>
            <sz val="10"/>
            <rFont val="Arial"/>
            <family val="2"/>
          </rPr>
          <t xml:space="preserve">Big and heavy, so poor in tight mission clusters.</t>
        </r>
      </text>
    </comment>
    <comment ref="C11" authorId="0">
      <text>
        <r>
          <rPr>
            <sz val="10"/>
            <rFont val="Arial"/>
            <family val="2"/>
          </rPr>
          <t xml:space="preserve">Rigid frame helps; extra mass lengthens stopping distance.</t>
        </r>
      </text>
    </comment>
    <comment ref="D6" authorId="0">
      <text>
        <r>
          <rPr>
            <sz val="10"/>
            <rFont val="Arial"/>
            <family val="2"/>
          </rPr>
          <t xml:space="preserve">18 x 19 studs, one core set, purpose-built for FLL.</t>
        </r>
      </text>
    </comment>
    <comment ref="D7" authorId="0">
      <text>
        <r>
          <rPr>
            <sz val="10"/>
            <rFont val="Arial"/>
            <family val="2"/>
          </rPr>
          <t xml:space="preserve">Gear coupling plus colour-sensor attachment identification - all mission code in one program.</t>
        </r>
      </text>
    </comment>
    <comment ref="D8" authorId="0">
      <text>
        <r>
          <rPr>
            <sz val="10"/>
            <rFont val="Arial"/>
            <family val="2"/>
          </rPr>
          <t xml:space="preserve">Advertised front/rear alignment, but the sides are NOT flat, so it does not deliver square-and-go. Claim unverified.</t>
        </r>
      </text>
    </comment>
    <comment ref="D9" authorId="0">
      <text>
        <r>
          <rPr>
            <sz val="10"/>
            <rFont val="Arial"/>
            <family val="2"/>
          </rPr>
          <t xml:space="preserve">Front-biased centre of gravity is a deliberate anti-tip choice.</t>
        </r>
      </text>
    </comment>
    <comment ref="D10" authorId="0">
      <text>
        <r>
          <rPr>
            <sz val="10"/>
            <rFont val="Arial"/>
            <family val="2"/>
          </rPr>
          <t xml:space="preserve">Compact and nimble.</t>
        </r>
      </text>
    </comment>
    <comment ref="D11" authorId="0">
      <text>
        <r>
          <rPr>
            <sz val="10"/>
            <rFont val="Arial"/>
            <family val="2"/>
          </rPr>
          <t xml:space="preserve">Strong traction claim reduces wheel slip.</t>
        </r>
      </text>
    </comment>
    <comment ref="E6" authorId="0">
      <text>
        <r>
          <rPr>
            <sz val="10"/>
            <rFont val="Arial"/>
            <family val="2"/>
          </rPr>
          <t xml:space="preserve">Two published builds, near-identical robots. Compact, low hub, but not framed.</t>
        </r>
      </text>
    </comment>
    <comment ref="E7" authorId="0">
      <text>
        <r>
          <rPr>
            <sz val="10"/>
            <rFont val="Arial"/>
            <family val="2"/>
          </rPr>
          <t xml:space="preserve">Pin or module mounting - no quicker at base than any other pinned design.</t>
        </r>
      </text>
    </comment>
    <comment ref="E8" authorId="0">
      <text>
        <r>
          <rPr>
            <sz val="10"/>
            <rFont val="Arial"/>
            <family val="2"/>
          </rPr>
          <t xml:space="preserve">Weakest here: drive wheels look like the widest point, so no flat face may reach a wall. Confirm with a ruler.</t>
        </r>
      </text>
    </comment>
    <comment ref="E9" authorId="0">
      <text>
        <r>
          <rPr>
            <sz val="10"/>
            <rFont val="Arial"/>
            <family val="2"/>
          </rPr>
          <t xml:space="preserve">Higher centre of gravity than the framed designs; less planted once an attachment extends.</t>
        </r>
      </text>
    </comment>
    <comment ref="E10" authorId="0">
      <text>
        <r>
          <rPr>
            <sz val="10"/>
            <rFont val="Arial"/>
            <family val="2"/>
          </rPr>
          <t xml:space="preserve">Lightest and most compact - best maneuverability of the four.</t>
        </r>
      </text>
    </comment>
    <comment ref="E11" authorId="0">
      <text>
        <r>
          <rPr>
            <sz val="10"/>
            <rFont val="Arial"/>
            <family val="2"/>
          </rPr>
          <t xml:space="preserve">Light and quick; rear caster/ball is a drift risk.</t>
        </r>
      </text>
    </comment>
  </commentList>
</comments>
</file>

<file path=xl/sharedStrings.xml><?xml version="1.0" encoding="utf-8"?>
<sst xmlns="http://schemas.openxmlformats.org/spreadsheetml/2006/main" count="94" uniqueCount="75">
  <si>
    <t xml:space="preserve">Robot Design Scoring for Tournament Use</t>
  </si>
  <si>
    <t xml:space="preserve">Look it's a Giraffe!  -  team scoring sheet</t>
  </si>
  <si>
    <t xml:space="preserve">HOW TO USE THIS SHEET</t>
  </si>
  <si>
    <t xml:space="preserve">1.  Score every yellow cell from 1 (poor) to 5 (excellent). Only the yellow cells are for typing in - everything else calculates itself.</t>
  </si>
  <si>
    <t xml:space="preserve">2.  Read the 'Criteria Guide' tab first so everyone is scoring the same way. It says what a 1 and a 5 look like, and how to test each one.</t>
  </si>
  <si>
    <t xml:space="preserve">3.  Score what you have actually seen. If nobody has tested it, leave it blank and go test it rather than guessing.</t>
  </si>
  <si>
    <t xml:space="preserve">4.  Weights start at 1. If the team decides a criterion matters more, raise its weight (try 2 or 3) and the weighted total updates.</t>
  </si>
  <si>
    <t xml:space="preserve">5.  The 'Reference Scores' tab has the scores from the 2026-09-21 review. Score yours first, then compare - don't copy.</t>
  </si>
  <si>
    <t xml:space="preserve">Criterion</t>
  </si>
  <si>
    <t xml:space="preserve">Weight</t>
  </si>
  <si>
    <t xml:space="preserve">Comp Bot</t>
  </si>
  <si>
    <t xml:space="preserve">HummerOne</t>
  </si>
  <si>
    <t xml:space="preserve">StarterBot</t>
  </si>
  <si>
    <t xml:space="preserve">GummyBears / Droid Bot M</t>
  </si>
  <si>
    <t xml:space="preserve">Archetype match to proven competitive designs</t>
  </si>
  <si>
    <t xml:space="preserve">Attachment swap speed at base</t>
  </si>
  <si>
    <t xml:space="preserve">Squaring - flat back and sides for wall alignment</t>
  </si>
  <si>
    <t xml:space="preserve">Stability / tipping resistance under load</t>
  </si>
  <si>
    <t xml:space="preserve">Maneuverability in tight mission areas</t>
  </si>
  <si>
    <t xml:space="preserve">Drive repeatability (for our PyBricks PID code)</t>
  </si>
  <si>
    <t xml:space="preserve">Raw total (out of 30)</t>
  </si>
  <si>
    <t xml:space="preserve">Weighted total</t>
  </si>
  <si>
    <t xml:space="preserve">Weighted maximum</t>
  </si>
  <si>
    <t xml:space="preserve">Score as % of maximum</t>
  </si>
  <si>
    <t xml:space="preserve">Rank (1 = best)</t>
  </si>
  <si>
    <t xml:space="preserve">EXAMPLE - what a filled-in row looks like (reference only, not counted in any total)</t>
  </si>
  <si>
    <t xml:space="preserve">Read as: the team weighted squaring x2 because it decides how repeatable every launch is, then scored the four designs 5, 4, 3 and 2 after pushing a ruler against each face.</t>
  </si>
  <si>
    <t xml:space="preserve">LEGEND</t>
  </si>
  <si>
    <t xml:space="preserve">Yellow cell, blue number</t>
  </si>
  <si>
    <t xml:space="preserve">You type here - scores 1 to 5, and the weights.</t>
  </si>
  <si>
    <t xml:space="preserve">Blue-grey cell, black number</t>
  </si>
  <si>
    <t xml:space="preserve">Calculated. Don't type in these; they will overwrite a formula.</t>
  </si>
  <si>
    <t xml:space="preserve">Scale</t>
  </si>
  <si>
    <t xml:space="preserve">1 = poor / a real handicap in a match.  3 = acceptable.  5 = excellent / a genuine advantage.</t>
  </si>
  <si>
    <t xml:space="preserve">Blank</t>
  </si>
  <si>
    <t xml:space="preserve">Not tested yet. Better than a guess - go and test it.</t>
  </si>
  <si>
    <t xml:space="preserve">Note: criteria here are on-field performance only. Cost, build time and whether a design fits one core set are real constraints, but they are not performance - decide those separately after the scoring.</t>
  </si>
  <si>
    <t xml:space="preserve">Criteria Guide - what each score means</t>
  </si>
  <si>
    <t xml:space="preserve">Read this together before scoring, so everyone means the same thing by a 4.</t>
  </si>
  <si>
    <t xml:space="preserve">What it measures</t>
  </si>
  <si>
    <t xml:space="preserve">A score of 1 looks like</t>
  </si>
  <si>
    <t xml:space="preserve">A score of 5 looks like</t>
  </si>
  <si>
    <t xml:space="preserve">How to test it</t>
  </si>
  <si>
    <t xml:space="preserve">Does this look like the robots that actually win? Compact rectangular 'box' chassis roughly 15-18 studs per side, drive wheels near the centre of mass, hub mounted low and flat, minimal part count.</t>
  </si>
  <si>
    <t xml:space="preserve">Nothing like the archetype - tall, sprawling, or wheels far from the centre of mass.</t>
  </si>
  <si>
    <t xml:space="preserve">Textbook competitive shape.</t>
  </si>
  <si>
    <t xml:space="preserve">Measure the footprint in studs. Look at where the drive wheels sit relative to the middle of the robot.</t>
  </si>
  <si>
    <t xml:space="preserve">How fast can we physically change an attachment during a match? This is real match time - a 20-second swap costs over 10% of the 2.5 minutes.</t>
  </si>
  <si>
    <t xml:space="preserve">Fumbling with loose pins, needs two hands and a careful line-up, over 20 seconds.</t>
  </si>
  <si>
    <t xml:space="preserve">One motion, glides on, under 5 seconds, works under pressure.</t>
  </si>
  <si>
    <t xml:space="preserve">Time ten swaps with a stopwatch and take the average. Have the youngest team member do it, not the fastest.</t>
  </si>
  <si>
    <t xml:space="preserve">Can we push the robot against a wall to get an identical starting position every single run, and re-square mid-run to cancel heading error? Needs flat faces that are the WIDEST part of the robot.</t>
  </si>
  <si>
    <t xml:space="preserve">Wheels, pins or a caster stick out past the body, so the robot touches at one point and pivots instead of squaring.</t>
  </si>
  <si>
    <t xml:space="preserve">Flat flush faces on back and both sides, and they are the outermost surfaces.</t>
  </si>
  <si>
    <t xml:space="preserve">Push a ruler or book flat against each face in turn. Does the body contact flush, or does a wheel or pin touch first?</t>
  </si>
  <si>
    <t xml:space="preserve">Does it stay planted when an attachment sticks out front or it is carrying a game piece? Low centre of gravity, wide stance, rigid frame.</t>
  </si>
  <si>
    <t xml:space="preserve">Tips, rocks, or the wheels skid on hard turns.</t>
  </si>
  <si>
    <t xml:space="preserve">Planted and predictable even with the heaviest attachment fitted.</t>
  </si>
  <si>
    <t xml:space="preserve">Fit the heaviest attachment, then drive fast, stop hard and turn sharply. Watch whether the front or a wheel lifts.</t>
  </si>
  <si>
    <t xml:space="preserve">Can it get between close-set mission models without knocking them over, and does it hog the launch area when squaring up?</t>
  </si>
  <si>
    <t xml:space="preserve">Too big for the tight clusters on this season's mat.</t>
  </si>
  <si>
    <t xml:space="preserve">Goes anywhere on the mat with room to spare.</t>
  </si>
  <si>
    <t xml:space="preserve">Drive it through the tightest gap on this season's mat. Try it from a few approach angles.</t>
  </si>
  <si>
    <t xml:space="preserve">Does it travel the same distance and finish on the same heading every time? This matters more than speed - an unrepeatable robot cannot be programmed reliably.</t>
  </si>
  <si>
    <t xml:space="preserve">Drifts noticeably run to run; results change as the battery drains.</t>
  </si>
  <si>
    <t xml:space="preserve">Lands within a couple of millimetres and a couple of degrees, run after run.</t>
  </si>
  <si>
    <t xml:space="preserve">Drive 1 m ten times and measure the spread. Then do ten 90-degree gyro turns and measure the heading error. Repeat at low battery.</t>
  </si>
  <si>
    <t xml:space="preserve">Reference Scores - from the 2026-09-21 design review</t>
  </si>
  <si>
    <t xml:space="preserve">Score your own first, then compare. Where you disagree, work out why - that argument is the useful part, and it is exactly what Robot Design judges want to hear about.</t>
  </si>
  <si>
    <t xml:space="preserve">Caveat: these were scored from 3D renders and published claims, not from built robots. Anything you measure on a real robot beats anything in this table.</t>
  </si>
  <si>
    <t xml:space="preserve">Total (out of 30)</t>
  </si>
  <si>
    <t xml:space="preserve">Hover any score for the one-line reason behind it.</t>
  </si>
  <si>
    <t xml:space="preserve">Two things deliberately NOT scored here</t>
  </si>
  <si>
    <t xml:space="preserve">-  Who published the design. That is a fact about the author, not the robot - archetype match already covers whether a design is competitive.</t>
  </si>
  <si>
    <t xml:space="preserve">-  Cost, build time, and whether it fits one core set. Real constraints, but logistics rather than performance. Decide those separately.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</si>
</sst>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i val="true"/>
      <sz val="10"/>
      <color rgb="FF7F6000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6" min="3" style="0" width="19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  <c r="F7" s="4"/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4" t="s">
        <v>7</v>
      </c>
      <c r="B9" s="4"/>
      <c r="C9" s="4"/>
      <c r="D9" s="4"/>
      <c r="E9" s="4"/>
      <c r="F9" s="4"/>
    </row>
    <row r="11" customFormat="false" ht="33.75" hidden="false" customHeight="true" outlineLevel="0" collapsed="false">
      <c r="A11" s="5" t="s">
        <v>8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</row>
    <row r="12" customFormat="false" ht="30" hidden="false" customHeight="true" outlineLevel="0" collapsed="false">
      <c r="A12" s="6" t="s">
        <v>14</v>
      </c>
      <c r="B12" s="7" t="n">
        <v>1</v>
      </c>
      <c r="C12" s="8"/>
      <c r="D12" s="8"/>
      <c r="E12" s="8"/>
      <c r="F12" s="8"/>
    </row>
    <row r="13" customFormat="false" ht="30" hidden="false" customHeight="true" outlineLevel="0" collapsed="false">
      <c r="A13" s="9" t="s">
        <v>15</v>
      </c>
      <c r="B13" s="7" t="n">
        <v>1</v>
      </c>
      <c r="C13" s="8"/>
      <c r="D13" s="8"/>
      <c r="E13" s="8"/>
      <c r="F13" s="8"/>
    </row>
    <row r="14" customFormat="false" ht="30" hidden="false" customHeight="true" outlineLevel="0" collapsed="false">
      <c r="A14" s="6" t="s">
        <v>16</v>
      </c>
      <c r="B14" s="7" t="n">
        <v>1</v>
      </c>
      <c r="C14" s="8"/>
      <c r="D14" s="8"/>
      <c r="E14" s="8"/>
      <c r="F14" s="8"/>
    </row>
    <row r="15" customFormat="false" ht="30" hidden="false" customHeight="true" outlineLevel="0" collapsed="false">
      <c r="A15" s="9" t="s">
        <v>17</v>
      </c>
      <c r="B15" s="7" t="n">
        <v>1</v>
      </c>
      <c r="C15" s="8"/>
      <c r="D15" s="8"/>
      <c r="E15" s="8"/>
      <c r="F15" s="8"/>
    </row>
    <row r="16" customFormat="false" ht="30" hidden="false" customHeight="true" outlineLevel="0" collapsed="false">
      <c r="A16" s="6" t="s">
        <v>18</v>
      </c>
      <c r="B16" s="7" t="n">
        <v>1</v>
      </c>
      <c r="C16" s="8"/>
      <c r="D16" s="8"/>
      <c r="E16" s="8"/>
      <c r="F16" s="8"/>
    </row>
    <row r="17" customFormat="false" ht="30" hidden="false" customHeight="true" outlineLevel="0" collapsed="false">
      <c r="A17" s="9" t="s">
        <v>19</v>
      </c>
      <c r="B17" s="7" t="n">
        <v>1</v>
      </c>
      <c r="C17" s="8"/>
      <c r="D17" s="8"/>
      <c r="E17" s="8"/>
      <c r="F17" s="8"/>
    </row>
    <row r="18" customFormat="false" ht="19.5" hidden="false" customHeight="true" outlineLevel="0" collapsed="false">
      <c r="A18" s="10" t="s">
        <v>20</v>
      </c>
      <c r="B18" s="11"/>
      <c r="C18" s="12" t="n">
        <f aca="false">SUM(C12:C17)</f>
        <v>0</v>
      </c>
      <c r="D18" s="12" t="n">
        <f aca="false">SUM(D12:D17)</f>
        <v>0</v>
      </c>
      <c r="E18" s="12" t="n">
        <f aca="false">SUM(E12:E17)</f>
        <v>0</v>
      </c>
      <c r="F18" s="12" t="n">
        <f aca="false">SUM(F12:F17)</f>
        <v>0</v>
      </c>
    </row>
    <row r="19" customFormat="false" ht="19.5" hidden="false" customHeight="true" outlineLevel="0" collapsed="false">
      <c r="A19" s="10" t="s">
        <v>21</v>
      </c>
      <c r="B19" s="11"/>
      <c r="C19" s="12" t="n">
        <f aca="false">SUMPRODUCT($B$12:$B$17,C12:C17)</f>
        <v>0</v>
      </c>
      <c r="D19" s="12" t="n">
        <f aca="false">SUMPRODUCT($B$12:$B$17,D12:D17)</f>
        <v>0</v>
      </c>
      <c r="E19" s="12" t="n">
        <f aca="false">SUMPRODUCT($B$12:$B$17,E12:E17)</f>
        <v>0</v>
      </c>
      <c r="F19" s="12" t="n">
        <f aca="false">SUMPRODUCT($B$12:$B$17,F12:F17)</f>
        <v>0</v>
      </c>
    </row>
    <row r="20" customFormat="false" ht="19.5" hidden="false" customHeight="true" outlineLevel="0" collapsed="false">
      <c r="A20" s="10" t="s">
        <v>22</v>
      </c>
      <c r="B20" s="11"/>
      <c r="C20" s="13" t="n">
        <f aca="false">SUM($B$12:$B$17)*5</f>
        <v>30</v>
      </c>
      <c r="D20" s="13" t="n">
        <f aca="false">SUM($B$12:$B$17)*5</f>
        <v>30</v>
      </c>
      <c r="E20" s="13" t="n">
        <f aca="false">SUM($B$12:$B$17)*5</f>
        <v>30</v>
      </c>
      <c r="F20" s="13" t="n">
        <f aca="false">SUM($B$12:$B$17)*5</f>
        <v>30</v>
      </c>
    </row>
    <row r="21" customFormat="false" ht="19.5" hidden="false" customHeight="true" outlineLevel="0" collapsed="false">
      <c r="A21" s="10" t="s">
        <v>23</v>
      </c>
      <c r="B21" s="11"/>
      <c r="C21" s="14" t="n">
        <f aca="false">IFERROR(C19/C20,"")</f>
        <v>0</v>
      </c>
      <c r="D21" s="14" t="n">
        <f aca="false">IFERROR(D19/D20,"")</f>
        <v>0</v>
      </c>
      <c r="E21" s="14" t="n">
        <f aca="false">IFERROR(E19/E20,"")</f>
        <v>0</v>
      </c>
      <c r="F21" s="14" t="n">
        <f aca="false">IFERROR(F19/F20,"")</f>
        <v>0</v>
      </c>
    </row>
    <row r="22" customFormat="false" ht="19.5" hidden="false" customHeight="true" outlineLevel="0" collapsed="false">
      <c r="A22" s="10" t="s">
        <v>24</v>
      </c>
      <c r="B22" s="11"/>
      <c r="C22" s="13" t="str">
        <f aca="false">IF(SUM($C$18:$F$18)=0,"",RANK(C19,$C$19:$F$19))</f>
        <v/>
      </c>
      <c r="D22" s="13" t="str">
        <f aca="false">IF(SUM($C$18:$F$18)=0,"",RANK(D19,$C$19:$F$19))</f>
        <v/>
      </c>
      <c r="E22" s="13" t="str">
        <f aca="false">IF(SUM($C$18:$F$18)=0,"",RANK(E19,$C$19:$F$19))</f>
        <v/>
      </c>
      <c r="F22" s="13" t="str">
        <f aca="false">IF(SUM($C$18:$F$18)=0,"",RANK(F19,$C$19:$F$19))</f>
        <v/>
      </c>
    </row>
    <row r="25" customFormat="false" ht="15" hidden="false" customHeight="false" outlineLevel="0" collapsed="false">
      <c r="A25" s="15" t="s">
        <v>25</v>
      </c>
      <c r="B25" s="15"/>
      <c r="C25" s="15"/>
      <c r="D25" s="15"/>
      <c r="E25" s="15"/>
      <c r="F25" s="15"/>
    </row>
    <row r="26" customFormat="false" ht="15" hidden="false" customHeight="false" outlineLevel="0" collapsed="false">
      <c r="A26" s="16" t="s">
        <v>16</v>
      </c>
      <c r="B26" s="17" t="n">
        <v>2</v>
      </c>
      <c r="C26" s="17" t="n">
        <v>5</v>
      </c>
      <c r="D26" s="17" t="n">
        <v>4</v>
      </c>
      <c r="E26" s="17" t="n">
        <v>3</v>
      </c>
      <c r="F26" s="17" t="n">
        <v>2</v>
      </c>
    </row>
    <row r="27" customFormat="false" ht="15" hidden="false" customHeight="false" outlineLevel="0" collapsed="false">
      <c r="A27" s="18" t="s">
        <v>26</v>
      </c>
      <c r="B27" s="18"/>
      <c r="C27" s="18"/>
      <c r="D27" s="18"/>
      <c r="E27" s="18"/>
      <c r="F27" s="18"/>
    </row>
    <row r="29" customFormat="false" ht="15" hidden="false" customHeight="false" outlineLevel="0" collapsed="false">
      <c r="A29" s="19" t="s">
        <v>27</v>
      </c>
    </row>
    <row r="30" customFormat="false" ht="15" hidden="false" customHeight="false" outlineLevel="0" collapsed="false">
      <c r="A30" s="20" t="s">
        <v>28</v>
      </c>
      <c r="B30" s="21" t="s">
        <v>29</v>
      </c>
      <c r="C30" s="21"/>
      <c r="D30" s="21"/>
      <c r="E30" s="21"/>
      <c r="F30" s="21"/>
    </row>
    <row r="31" customFormat="false" ht="15" hidden="false" customHeight="false" outlineLevel="0" collapsed="false">
      <c r="A31" s="20" t="s">
        <v>30</v>
      </c>
      <c r="B31" s="21" t="s">
        <v>31</v>
      </c>
      <c r="C31" s="21"/>
      <c r="D31" s="21"/>
      <c r="E31" s="21"/>
      <c r="F31" s="21"/>
    </row>
    <row r="32" customFormat="false" ht="15" hidden="false" customHeight="false" outlineLevel="0" collapsed="false">
      <c r="A32" s="20" t="s">
        <v>32</v>
      </c>
      <c r="B32" s="21" t="s">
        <v>33</v>
      </c>
      <c r="C32" s="21"/>
      <c r="D32" s="21"/>
      <c r="E32" s="21"/>
      <c r="F32" s="21"/>
    </row>
    <row r="33" customFormat="false" ht="15" hidden="false" customHeight="false" outlineLevel="0" collapsed="false">
      <c r="A33" s="20" t="s">
        <v>34</v>
      </c>
      <c r="B33" s="21" t="s">
        <v>35</v>
      </c>
      <c r="C33" s="21"/>
      <c r="D33" s="21"/>
      <c r="E33" s="21"/>
      <c r="F33" s="21"/>
    </row>
    <row r="35" customFormat="false" ht="15" hidden="false" customHeight="false" outlineLevel="0" collapsed="false">
      <c r="A35" s="22" t="s">
        <v>36</v>
      </c>
      <c r="B35" s="22"/>
      <c r="C35" s="22"/>
      <c r="D35" s="22"/>
      <c r="E35" s="22"/>
      <c r="F35" s="22"/>
    </row>
    <row r="36" customFormat="false" ht="15" hidden="false" customHeight="false" outlineLevel="0" collapsed="false">
      <c r="A36" s="22"/>
      <c r="B36" s="22"/>
      <c r="C36" s="22"/>
      <c r="D36" s="22"/>
      <c r="E36" s="22"/>
      <c r="F36" s="22"/>
    </row>
  </sheetData>
  <mergeCells count="14">
    <mergeCell ref="A1:F1"/>
    <mergeCell ref="A2:F2"/>
    <mergeCell ref="A5:F5"/>
    <mergeCell ref="A6:F6"/>
    <mergeCell ref="A7:F7"/>
    <mergeCell ref="A8:F8"/>
    <mergeCell ref="A9:F9"/>
    <mergeCell ref="A25:F25"/>
    <mergeCell ref="A27:F27"/>
    <mergeCell ref="B30:F30"/>
    <mergeCell ref="B31:F31"/>
    <mergeCell ref="B32:F32"/>
    <mergeCell ref="B33:F33"/>
    <mergeCell ref="A35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4" min="3" style="0" width="34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37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38</v>
      </c>
      <c r="B2" s="2"/>
      <c r="C2" s="2"/>
      <c r="D2" s="2"/>
      <c r="E2" s="2"/>
    </row>
    <row r="4" customFormat="false" ht="30" hidden="false" customHeight="true" outlineLevel="0" collapsed="false">
      <c r="A4" s="5" t="s">
        <v>8</v>
      </c>
      <c r="B4" s="5" t="s">
        <v>39</v>
      </c>
      <c r="C4" s="5" t="s">
        <v>40</v>
      </c>
      <c r="D4" s="5" t="s">
        <v>41</v>
      </c>
      <c r="E4" s="5" t="s">
        <v>42</v>
      </c>
    </row>
    <row r="5" customFormat="false" ht="78" hidden="false" customHeight="true" outlineLevel="0" collapsed="false">
      <c r="A5" s="23" t="s">
        <v>14</v>
      </c>
      <c r="B5" s="24" t="s">
        <v>43</v>
      </c>
      <c r="C5" s="24" t="s">
        <v>44</v>
      </c>
      <c r="D5" s="24" t="s">
        <v>45</v>
      </c>
      <c r="E5" s="24" t="s">
        <v>46</v>
      </c>
    </row>
    <row r="6" customFormat="false" ht="78" hidden="false" customHeight="true" outlineLevel="0" collapsed="false">
      <c r="A6" s="25" t="s">
        <v>15</v>
      </c>
      <c r="B6" s="26" t="s">
        <v>47</v>
      </c>
      <c r="C6" s="26" t="s">
        <v>48</v>
      </c>
      <c r="D6" s="26" t="s">
        <v>49</v>
      </c>
      <c r="E6" s="26" t="s">
        <v>50</v>
      </c>
    </row>
    <row r="7" customFormat="false" ht="78" hidden="false" customHeight="true" outlineLevel="0" collapsed="false">
      <c r="A7" s="23" t="s">
        <v>16</v>
      </c>
      <c r="B7" s="24" t="s">
        <v>51</v>
      </c>
      <c r="C7" s="24" t="s">
        <v>52</v>
      </c>
      <c r="D7" s="24" t="s">
        <v>53</v>
      </c>
      <c r="E7" s="24" t="s">
        <v>54</v>
      </c>
    </row>
    <row r="8" customFormat="false" ht="78" hidden="false" customHeight="true" outlineLevel="0" collapsed="false">
      <c r="A8" s="25" t="s">
        <v>17</v>
      </c>
      <c r="B8" s="26" t="s">
        <v>55</v>
      </c>
      <c r="C8" s="26" t="s">
        <v>56</v>
      </c>
      <c r="D8" s="26" t="s">
        <v>57</v>
      </c>
      <c r="E8" s="26" t="s">
        <v>58</v>
      </c>
    </row>
    <row r="9" customFormat="false" ht="78" hidden="false" customHeight="true" outlineLevel="0" collapsed="false">
      <c r="A9" s="23" t="s">
        <v>18</v>
      </c>
      <c r="B9" s="24" t="s">
        <v>59</v>
      </c>
      <c r="C9" s="24" t="s">
        <v>60</v>
      </c>
      <c r="D9" s="24" t="s">
        <v>61</v>
      </c>
      <c r="E9" s="24" t="s">
        <v>62</v>
      </c>
    </row>
    <row r="10" customFormat="false" ht="78" hidden="false" customHeight="true" outlineLevel="0" collapsed="false">
      <c r="A10" s="25" t="s">
        <v>19</v>
      </c>
      <c r="B10" s="26" t="s">
        <v>63</v>
      </c>
      <c r="C10" s="26" t="s">
        <v>64</v>
      </c>
      <c r="D10" s="26" t="s">
        <v>65</v>
      </c>
      <c r="E10" s="26" t="s">
        <v>66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9"/>
  </cols>
  <sheetData>
    <row r="1" customFormat="false" ht="19.7" hidden="false" customHeight="false" outlineLevel="0" collapsed="false">
      <c r="A1" s="1" t="s">
        <v>67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7" t="s">
        <v>68</v>
      </c>
      <c r="B2" s="27"/>
      <c r="C2" s="27"/>
      <c r="D2" s="27"/>
      <c r="E2" s="27"/>
      <c r="F2" s="27"/>
    </row>
    <row r="3" customFormat="false" ht="15" hidden="false" customHeight="false" outlineLevel="0" collapsed="false">
      <c r="A3" s="28" t="s">
        <v>69</v>
      </c>
      <c r="B3" s="28"/>
      <c r="C3" s="28"/>
      <c r="D3" s="28"/>
      <c r="E3" s="28"/>
      <c r="F3" s="28"/>
    </row>
    <row r="5" customFormat="false" ht="30" hidden="false" customHeight="true" outlineLevel="0" collapsed="false">
      <c r="A5" s="5" t="s">
        <v>8</v>
      </c>
      <c r="B5" s="5" t="s">
        <v>10</v>
      </c>
      <c r="C5" s="5" t="s">
        <v>11</v>
      </c>
      <c r="D5" s="5" t="s">
        <v>12</v>
      </c>
      <c r="E5" s="5" t="s">
        <v>13</v>
      </c>
    </row>
    <row r="6" customFormat="false" ht="30" hidden="false" customHeight="true" outlineLevel="0" collapsed="false">
      <c r="A6" s="6" t="s">
        <v>14</v>
      </c>
      <c r="B6" s="29" t="n">
        <v>5</v>
      </c>
      <c r="C6" s="29" t="n">
        <v>4</v>
      </c>
      <c r="D6" s="29" t="n">
        <v>5</v>
      </c>
      <c r="E6" s="29" t="n">
        <v>4</v>
      </c>
    </row>
    <row r="7" customFormat="false" ht="30" hidden="false" customHeight="true" outlineLevel="0" collapsed="false">
      <c r="A7" s="9" t="s">
        <v>15</v>
      </c>
      <c r="B7" s="30" t="n">
        <v>5</v>
      </c>
      <c r="C7" s="30" t="n">
        <v>5</v>
      </c>
      <c r="D7" s="30" t="n">
        <v>4</v>
      </c>
      <c r="E7" s="30" t="n">
        <v>3</v>
      </c>
    </row>
    <row r="8" customFormat="false" ht="30" hidden="false" customHeight="true" outlineLevel="0" collapsed="false">
      <c r="A8" s="6" t="s">
        <v>16</v>
      </c>
      <c r="B8" s="29" t="n">
        <v>5</v>
      </c>
      <c r="C8" s="29" t="n">
        <v>4</v>
      </c>
      <c r="D8" s="29" t="n">
        <v>3</v>
      </c>
      <c r="E8" s="29" t="n">
        <v>2</v>
      </c>
    </row>
    <row r="9" customFormat="false" ht="30" hidden="false" customHeight="true" outlineLevel="0" collapsed="false">
      <c r="A9" s="9" t="s">
        <v>17</v>
      </c>
      <c r="B9" s="30" t="n">
        <v>5</v>
      </c>
      <c r="C9" s="30" t="n">
        <v>5</v>
      </c>
      <c r="D9" s="30" t="n">
        <v>4</v>
      </c>
      <c r="E9" s="30" t="n">
        <v>3</v>
      </c>
    </row>
    <row r="10" customFormat="false" ht="30" hidden="false" customHeight="true" outlineLevel="0" collapsed="false">
      <c r="A10" s="6" t="s">
        <v>18</v>
      </c>
      <c r="B10" s="29" t="n">
        <v>2</v>
      </c>
      <c r="C10" s="29" t="n">
        <v>2</v>
      </c>
      <c r="D10" s="29" t="n">
        <v>4</v>
      </c>
      <c r="E10" s="29" t="n">
        <v>4</v>
      </c>
    </row>
    <row r="11" customFormat="false" ht="30" hidden="false" customHeight="true" outlineLevel="0" collapsed="false">
      <c r="A11" s="9" t="s">
        <v>19</v>
      </c>
      <c r="B11" s="30" t="n">
        <v>4</v>
      </c>
      <c r="C11" s="30" t="n">
        <v>4</v>
      </c>
      <c r="D11" s="30" t="n">
        <v>4</v>
      </c>
      <c r="E11" s="30" t="n">
        <v>4</v>
      </c>
    </row>
    <row r="12" customFormat="false" ht="15" hidden="false" customHeight="false" outlineLevel="0" collapsed="false">
      <c r="A12" s="31" t="s">
        <v>70</v>
      </c>
      <c r="B12" s="32" t="n">
        <f aca="false">SUM(B6:B11)</f>
        <v>26</v>
      </c>
      <c r="C12" s="32" t="n">
        <f aca="false">SUM(C6:C11)</f>
        <v>24</v>
      </c>
      <c r="D12" s="32" t="n">
        <f aca="false">SUM(D6:D11)</f>
        <v>24</v>
      </c>
      <c r="E12" s="32" t="n">
        <f aca="false">SUM(E6:E11)</f>
        <v>20</v>
      </c>
    </row>
    <row r="14" customFormat="false" ht="15" hidden="false" customHeight="false" outlineLevel="0" collapsed="false">
      <c r="A14" s="22" t="s">
        <v>71</v>
      </c>
      <c r="B14" s="22"/>
      <c r="C14" s="22"/>
      <c r="D14" s="22"/>
      <c r="E14" s="22"/>
    </row>
    <row r="16" customFormat="false" ht="15" hidden="false" customHeight="false" outlineLevel="0" collapsed="false">
      <c r="A16" s="19" t="s">
        <v>72</v>
      </c>
    </row>
    <row r="17" customFormat="false" ht="15" hidden="false" customHeight="false" outlineLevel="0" collapsed="false">
      <c r="A17" s="21" t="s">
        <v>73</v>
      </c>
      <c r="B17" s="21"/>
      <c r="C17" s="21"/>
      <c r="D17" s="21"/>
      <c r="E17" s="21"/>
    </row>
    <row r="18" customFormat="false" ht="15" hidden="false" customHeight="false" outlineLevel="0" collapsed="false">
      <c r="A18" s="21" t="s">
        <v>74</v>
      </c>
      <c r="B18" s="21"/>
      <c r="C18" s="21"/>
      <c r="D18" s="21"/>
      <c r="E18" s="21"/>
    </row>
  </sheetData>
  <mergeCells count="6">
    <mergeCell ref="A1:F1"/>
    <mergeCell ref="A2:F2"/>
    <mergeCell ref="A3:F3"/>
    <mergeCell ref="A14:E14"/>
    <mergeCell ref="A17:E17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2026-09-22T00:42:04Z</dcterms:created>
  <dc:creator>openpyxl</dc:creator>
  <dc:description/>
  <dc:language>en-US</dc:language>
  <cp:lastModifiedBy/>
  <dcterms:modified xsi:type="dcterms:W3CDTF">2026-09-22T00:42:04Z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