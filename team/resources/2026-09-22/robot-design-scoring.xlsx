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leig\projects\Lego\team\resources\2026-09-22\"/>
    </mc:Choice>
  </mc:AlternateContent>
  <xr:revisionPtr revIDLastSave="0" documentId="13_ncr:1_{CB0D6B91-2829-4679-B9FD-5B09CF6AEB2E}" xr6:coauthVersionLast="47" xr6:coauthVersionMax="47" xr10:uidLastSave="{00000000-0000-0000-0000-000000000000}"/>
  <bookViews>
    <workbookView xWindow="-103" yWindow="-103" windowWidth="27634" windowHeight="16629" tabRatio="500" xr2:uid="{00000000-000D-0000-FFFF-FFFF00000000}"/>
  </bookViews>
  <sheets>
    <sheet name="Scoring" sheetId="1" r:id="rId1"/>
    <sheet name="Criteria Guide" sheetId="2" r:id="rId2"/>
    <sheet name="Reference Score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" i="3" l="1"/>
  <c r="D12" i="3"/>
  <c r="C12" i="3"/>
  <c r="B12" i="3"/>
  <c r="F20" i="1"/>
  <c r="E20" i="1"/>
  <c r="D20" i="1"/>
  <c r="C20" i="1"/>
  <c r="F19" i="1"/>
  <c r="F21" i="1" s="1"/>
  <c r="E19" i="1"/>
  <c r="E21" i="1" s="1"/>
  <c r="D19" i="1"/>
  <c r="D21" i="1" s="1"/>
  <c r="C19" i="1"/>
  <c r="C21" i="1" s="1"/>
  <c r="F18" i="1"/>
  <c r="E18" i="1"/>
  <c r="D18" i="1"/>
  <c r="C18" i="1"/>
  <c r="F22" i="1" l="1"/>
  <c r="C22" i="1"/>
  <c r="D22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2" authorId="0" shapeId="0" xr:uid="{00000000-0006-0000-0000-000001000000}">
      <text>
        <r>
          <rPr>
            <sz val="10"/>
            <rFont val="Arial"/>
            <family val="2"/>
          </rPr>
          <t>Type a whole number from 1 to 5.
See the Criteria Guide tab for what each score means.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6" authorId="0" shapeId="0" xr:uid="{00000000-0006-0000-0200-000001000000}">
      <text>
        <r>
          <rPr>
            <sz val="10"/>
            <rFont val="Arial"/>
            <family val="2"/>
          </rPr>
          <t>Fully enclosed box robot, hub recessed, wheels internal. Textbook competitive shape.</t>
        </r>
      </text>
    </comment>
    <comment ref="C6" authorId="0" shapeId="0" xr:uid="{00000000-0006-0000-0200-000007000000}">
      <text>
        <r>
          <rPr>
            <sz val="10"/>
            <rFont val="Arial"/>
            <family val="2"/>
          </rPr>
          <t>Boxy and well proportioned, but a large footprint.</t>
        </r>
      </text>
    </comment>
    <comment ref="D6" authorId="0" shapeId="0" xr:uid="{00000000-0006-0000-0200-00000D000000}">
      <text>
        <r>
          <rPr>
            <sz val="10"/>
            <rFont val="Arial"/>
            <family val="2"/>
          </rPr>
          <t>18 x 19 studs, one core set, purpose-built for FLL.</t>
        </r>
      </text>
    </comment>
    <comment ref="E6" authorId="0" shapeId="0" xr:uid="{00000000-0006-0000-0200-000013000000}">
      <text>
        <r>
          <rPr>
            <sz val="10"/>
            <rFont val="Arial"/>
            <family val="2"/>
          </rPr>
          <t>Two published builds, near-identical robots. Compact, low hub, but not framed.</t>
        </r>
      </text>
    </comment>
    <comment ref="B7" authorId="0" shapeId="0" xr:uid="{00000000-0006-0000-0200-000002000000}">
      <text>
        <r>
          <rPr>
            <sz val="10"/>
            <rFont val="Arial"/>
            <family val="2"/>
          </rPr>
          <t>Dog-gear couplings engage without precise meshing, and TWO attachment motors mean some mission pairs need no swap at all.</t>
        </r>
      </text>
    </comment>
    <comment ref="C7" authorId="0" shapeId="0" xr:uid="{00000000-0006-0000-0200-000008000000}">
      <text>
        <r>
          <rPr>
            <sz val="10"/>
            <rFont val="Arial"/>
            <family val="2"/>
          </rPr>
          <t>Full-width glide-on bar - attachments slide on rather than being pinned piece by piece.</t>
        </r>
      </text>
    </comment>
    <comment ref="D7" authorId="0" shapeId="0" xr:uid="{00000000-0006-0000-0200-00000E000000}">
      <text>
        <r>
          <rPr>
            <sz val="10"/>
            <rFont val="Arial"/>
            <family val="2"/>
          </rPr>
          <t>Gear coupling plus colour-sensor attachment identification - all mission code in one program.</t>
        </r>
      </text>
    </comment>
    <comment ref="E7" authorId="0" shapeId="0" xr:uid="{00000000-0006-0000-0200-000014000000}">
      <text>
        <r>
          <rPr>
            <sz val="10"/>
            <rFont val="Arial"/>
            <family val="2"/>
          </rPr>
          <t>Pin or module mounting - no quicker at base than any other pinned design.</t>
        </r>
      </text>
    </comment>
    <comment ref="B8" authorId="0" shapeId="0" xr:uid="{00000000-0006-0000-0200-000003000000}">
      <text>
        <r>
          <rPr>
            <sz val="10"/>
            <rFont val="Arial"/>
            <family val="2"/>
          </rPr>
          <t>Best here by construction: the frame encloses the wheels, so the flat faces ARE the widest surfaces. Squares from any side.</t>
        </r>
      </text>
    </comment>
    <comment ref="C8" authorId="0" shapeId="0" xr:uid="{00000000-0006-0000-0200-000009000000}">
      <text>
        <r>
          <rPr>
            <sz val="10"/>
            <rFont val="Arial"/>
            <family val="2"/>
          </rPr>
          <t>Magenta perimeter frame gives genuine flat side and rear panels. Check the front-left wheel does not sit proud.</t>
        </r>
      </text>
    </comment>
    <comment ref="D8" authorId="0" shapeId="0" xr:uid="{00000000-0006-0000-0200-00000F000000}">
      <text>
        <r>
          <rPr>
            <sz val="10"/>
            <rFont val="Arial"/>
            <family val="2"/>
          </rPr>
          <t>Advertised front/rear alignment, but the sides are NOT flat, so it does not deliver square-and-go. Claim unverified.</t>
        </r>
      </text>
    </comment>
    <comment ref="E8" authorId="0" shapeId="0" xr:uid="{00000000-0006-0000-0200-000015000000}">
      <text>
        <r>
          <rPr>
            <sz val="10"/>
            <rFont val="Arial"/>
            <family val="2"/>
          </rPr>
          <t>Weakest here: drive wheels look like the widest point, so no flat face may reach a wall. Confirm with a ruler.</t>
        </r>
      </text>
    </comment>
    <comment ref="B9" authorId="0" shapeId="0" xr:uid="{00000000-0006-0000-0200-000004000000}">
      <text>
        <r>
          <rPr>
            <sz val="10"/>
            <rFont val="Arial"/>
            <family val="2"/>
          </rPr>
          <t>158 of 225 steps are framing. Effectively zero chassis flex, very low and planted.</t>
        </r>
      </text>
    </comment>
    <comment ref="C9" authorId="0" shapeId="0" xr:uid="{00000000-0006-0000-0200-00000A000000}">
      <text>
        <r>
          <rPr>
            <sz val="10"/>
            <rFont val="Arial"/>
            <family val="2"/>
          </rPr>
          <t>Reinforced box frame; second only to Comp Bot for rigidity.</t>
        </r>
      </text>
    </comment>
    <comment ref="D9" authorId="0" shapeId="0" xr:uid="{00000000-0006-0000-0200-000010000000}">
      <text>
        <r>
          <rPr>
            <sz val="10"/>
            <rFont val="Arial"/>
            <family val="2"/>
          </rPr>
          <t>Front-biased centre of gravity is a deliberate anti-tip choice.</t>
        </r>
      </text>
    </comment>
    <comment ref="E9" authorId="0" shapeId="0" xr:uid="{00000000-0006-0000-0200-000016000000}">
      <text>
        <r>
          <rPr>
            <sz val="10"/>
            <rFont val="Arial"/>
            <family val="2"/>
          </rPr>
          <t>Higher centre of gravity than the framed designs; less planted once an attachment extends.</t>
        </r>
      </text>
    </comment>
    <comment ref="B10" authorId="0" shapeId="0" xr:uid="{00000000-0006-0000-0200-000005000000}">
      <text>
        <r>
          <rPr>
            <sz val="10"/>
            <rFont val="Arial"/>
            <family val="2"/>
          </rPr>
          <t>Biggest and heaviest of the four - worst in tight mission clusters.</t>
        </r>
      </text>
    </comment>
    <comment ref="C10" authorId="0" shapeId="0" xr:uid="{00000000-0006-0000-0200-00000B000000}">
      <text>
        <r>
          <rPr>
            <sz val="10"/>
            <rFont val="Arial"/>
            <family val="2"/>
          </rPr>
          <t>Big and heavy, so poor in tight mission clusters.</t>
        </r>
      </text>
    </comment>
    <comment ref="D10" authorId="0" shapeId="0" xr:uid="{00000000-0006-0000-0200-000011000000}">
      <text>
        <r>
          <rPr>
            <sz val="10"/>
            <rFont val="Arial"/>
            <family val="2"/>
          </rPr>
          <t>Compact and nimble.</t>
        </r>
      </text>
    </comment>
    <comment ref="E10" authorId="0" shapeId="0" xr:uid="{00000000-0006-0000-0200-000017000000}">
      <text>
        <r>
          <rPr>
            <sz val="10"/>
            <rFont val="Arial"/>
            <family val="2"/>
          </rPr>
          <t>Lightest and most compact - best maneuverability of the four.</t>
        </r>
      </text>
    </comment>
    <comment ref="B11" authorId="0" shapeId="0" xr:uid="{00000000-0006-0000-0200-000006000000}">
      <text>
        <r>
          <rPr>
            <sz val="10"/>
            <rFont val="Arial"/>
            <family val="2"/>
          </rPr>
          <t>Rigid enclosed frame helps a lot; the rear ball caster is still a drift risk.</t>
        </r>
      </text>
    </comment>
    <comment ref="C11" authorId="0" shapeId="0" xr:uid="{00000000-0006-0000-0200-00000C000000}">
      <text>
        <r>
          <rPr>
            <sz val="10"/>
            <rFont val="Arial"/>
            <family val="2"/>
          </rPr>
          <t>Rigid frame helps; extra mass lengthens stopping distance.</t>
        </r>
      </text>
    </comment>
    <comment ref="D11" authorId="0" shapeId="0" xr:uid="{00000000-0006-0000-0200-000012000000}">
      <text>
        <r>
          <rPr>
            <sz val="10"/>
            <rFont val="Arial"/>
            <family val="2"/>
          </rPr>
          <t>Strong traction claim reduces wheel slip.</t>
        </r>
      </text>
    </comment>
    <comment ref="E11" authorId="0" shapeId="0" xr:uid="{00000000-0006-0000-0200-000018000000}">
      <text>
        <r>
          <rPr>
            <sz val="10"/>
            <rFont val="Arial"/>
            <family val="2"/>
          </rPr>
          <t>Light and quick; rear caster/ball is a drift risk.</t>
        </r>
      </text>
    </comment>
  </commentList>
</comments>
</file>

<file path=xl/sharedStrings.xml><?xml version="1.0" encoding="utf-8"?>
<sst xmlns="http://schemas.openxmlformats.org/spreadsheetml/2006/main" count="94" uniqueCount="75">
  <si>
    <t>Robot Design Scoring for Tournament Use</t>
  </si>
  <si>
    <t>Look it's a Giraffe!  -  team scoring sheet</t>
  </si>
  <si>
    <t>HOW TO USE THIS SHEET</t>
  </si>
  <si>
    <t>1.  Score every yellow cell from 1 (poor) to 5 (excellent). Only the yellow cells are for typing in - everything else calculates itself.</t>
  </si>
  <si>
    <t>2.  Read the 'Criteria Guide' tab first so everyone is scoring the same way. It says what a 1 and a 5 look like, and how to test each one.</t>
  </si>
  <si>
    <t>3.  Score what you have actually seen. If nobody has tested it, leave it blank and go test it rather than guessing.</t>
  </si>
  <si>
    <t>4.  Weights start at 1. If the team decides a criterion matters more, raise its weight (try 2 or 3) and the weighted total updates.</t>
  </si>
  <si>
    <t>5.  The 'Reference Scores' tab has the scores from the 2026-09-21 review. Score yours first, then compare - don't copy.</t>
  </si>
  <si>
    <t>Criterion</t>
  </si>
  <si>
    <t>Weight</t>
  </si>
  <si>
    <t>Comp Bot</t>
  </si>
  <si>
    <t>HummerOne</t>
  </si>
  <si>
    <t>StarterBot</t>
  </si>
  <si>
    <t>GummyBears / Droid Bot M</t>
  </si>
  <si>
    <t>Archetype match to proven competitive designs</t>
  </si>
  <si>
    <t>Attachment swap speed at base</t>
  </si>
  <si>
    <t>Squaring - flat back and sides for wall alignment</t>
  </si>
  <si>
    <t>Stability / tipping resistance under load</t>
  </si>
  <si>
    <t>Maneuverability in tight mission areas</t>
  </si>
  <si>
    <t>Drive repeatability (for our PyBricks PID code)</t>
  </si>
  <si>
    <t>Raw total (out of 30)</t>
  </si>
  <si>
    <t>Weighted total</t>
  </si>
  <si>
    <t>Weighted maximum</t>
  </si>
  <si>
    <t>Score as % of maximum</t>
  </si>
  <si>
    <t>Rank (1 = best)</t>
  </si>
  <si>
    <t>EXAMPLE - what a filled-in row looks like (reference only, not counted in any total)</t>
  </si>
  <si>
    <t>Read as: the team weighted squaring x2 because it decides how repeatable every launch is, then scored the four designs 5, 4, 3 and 2 after pushing a ruler against each face.</t>
  </si>
  <si>
    <t>LEGEND</t>
  </si>
  <si>
    <t>Yellow cell, blue number</t>
  </si>
  <si>
    <t>You type here - scores 1 to 5, and the weights.</t>
  </si>
  <si>
    <t>Blue-grey cell, black number</t>
  </si>
  <si>
    <t>Calculated. Don't type in these; they will overwrite a formula.</t>
  </si>
  <si>
    <t>Scale</t>
  </si>
  <si>
    <t>1 = poor / a real handicap in a match.  3 = acceptable.  5 = excellent / a genuine advantage.</t>
  </si>
  <si>
    <t>Blank</t>
  </si>
  <si>
    <t>Not tested yet. Better than a guess - go and test it.</t>
  </si>
  <si>
    <t>Note: criteria here are on-field performance only. Cost, build time and whether a design fits one core set are real constraints, but they are not performance - decide those separately after the scoring.</t>
  </si>
  <si>
    <t>Criteria Guide - what each score means</t>
  </si>
  <si>
    <t>Read this together before scoring, so everyone means the same thing by a 4.</t>
  </si>
  <si>
    <t>What it measures</t>
  </si>
  <si>
    <t>A score of 1 looks like</t>
  </si>
  <si>
    <t>A score of 5 looks like</t>
  </si>
  <si>
    <t>How to test it</t>
  </si>
  <si>
    <t>Does this look like the robots that actually win? Compact rectangular 'box' chassis roughly 15-18 studs per side, drive wheels near the centre of mass, hub mounted low and flat, minimal part count.</t>
  </si>
  <si>
    <t>Nothing like the archetype - tall, sprawling, or wheels far from the centre of mass.</t>
  </si>
  <si>
    <t>Textbook competitive shape.</t>
  </si>
  <si>
    <t>Measure the footprint in studs. Look at where the drive wheels sit relative to the middle of the robot.</t>
  </si>
  <si>
    <t>How fast can we physically change an attachment during a match? This is real match time - a 20-second swap costs over 10% of the 2.5 minutes.</t>
  </si>
  <si>
    <t>Fumbling with loose pins, needs two hands and a careful line-up, over 20 seconds.</t>
  </si>
  <si>
    <t>One motion, glides on, under 5 seconds, works under pressure.</t>
  </si>
  <si>
    <t>Time ten swaps with a stopwatch and take the average. Have the youngest team member do it, not the fastest.</t>
  </si>
  <si>
    <t>Can we push the robot against a wall to get an identical starting position every single run, and re-square mid-run to cancel heading error? Needs flat faces that are the WIDEST part of the robot.</t>
  </si>
  <si>
    <t>Wheels, pins or a caster stick out past the body, so the robot touches at one point and pivots instead of squaring.</t>
  </si>
  <si>
    <t>Flat flush faces on back and both sides, and they are the outermost surfaces.</t>
  </si>
  <si>
    <t>Push a ruler or book flat against each face in turn. Does the body contact flush, or does a wheel or pin touch first?</t>
  </si>
  <si>
    <t>Does it stay planted when an attachment sticks out front or it is carrying a game piece? Low centre of gravity, wide stance, rigid frame.</t>
  </si>
  <si>
    <t>Tips, rocks, or the wheels skid on hard turns.</t>
  </si>
  <si>
    <t>Planted and predictable even with the heaviest attachment fitted.</t>
  </si>
  <si>
    <t>Fit the heaviest attachment, then drive fast, stop hard and turn sharply. Watch whether the front or a wheel lifts.</t>
  </si>
  <si>
    <t>Can it get between close-set mission models without knocking them over, and does it hog the launch area when squaring up?</t>
  </si>
  <si>
    <t>Too big for the tight clusters on this season's mat.</t>
  </si>
  <si>
    <t>Goes anywhere on the mat with room to spare.</t>
  </si>
  <si>
    <t>Drive it through the tightest gap on this season's mat. Try it from a few approach angles.</t>
  </si>
  <si>
    <t>Does it travel the same distance and finish on the same heading every time? This matters more than speed - an unrepeatable robot cannot be programmed reliably.</t>
  </si>
  <si>
    <t>Drifts noticeably run to run; results change as the battery drains.</t>
  </si>
  <si>
    <t>Lands within a couple of millimetres and a couple of degrees, run after run.</t>
  </si>
  <si>
    <t>Drive 1 m ten times and measure the spread. Then do ten 90-degree gyro turns and measure the heading error. Repeat at low battery.</t>
  </si>
  <si>
    <t>Reference Scores - from the 2026-09-21 design review</t>
  </si>
  <si>
    <t>Score your own first, then compare. Where you disagree, work out why - that argument is the useful part, and it is exactly what Robot Design judges want to hear about.</t>
  </si>
  <si>
    <t>Caveat: these were scored from 3D renders and published claims, not from built robots. Anything you measure on a real robot beats anything in this table.</t>
  </si>
  <si>
    <t>Total (out of 30)</t>
  </si>
  <si>
    <t>Hover any score for the one-line reason behind it.</t>
  </si>
  <si>
    <t>Two things deliberately NOT scored here</t>
  </si>
  <si>
    <t>-  Who published the design. That is a fact about the author, not the robot - archetype match already covers whether a design is competitive.</t>
  </si>
  <si>
    <t>-  Cost, build time, and whether it fits one core set. Real constraints, but logistics rather than performance. Decide those separately.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</si>
</sst>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i/>
      <sz val="11"/>
      <color rgb="FF595959"/>
      <name val="Arial"/>
      <charset val="1"/>
    </font>
    <font>
      <b/>
      <sz val="11"/>
      <name val="Arial"/>
      <charset val="1"/>
    </font>
    <font>
      <sz val="10"/>
      <color rgb="FF404040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0000FF"/>
      <name val="Arial"/>
      <charset val="1"/>
    </font>
    <font>
      <b/>
      <sz val="11"/>
      <color rgb="FF0000FF"/>
      <name val="Arial"/>
      <charset val="1"/>
    </font>
    <font>
      <b/>
      <sz val="10"/>
      <name val="Arial"/>
      <charset val="1"/>
    </font>
    <font>
      <b/>
      <sz val="11"/>
      <color rgb="FF000000"/>
      <name val="Arial"/>
      <charset val="1"/>
    </font>
    <font>
      <sz val="11"/>
      <color rgb="FF000000"/>
      <name val="Arial"/>
      <charset val="1"/>
    </font>
    <font>
      <b/>
      <i/>
      <sz val="10"/>
      <color rgb="FF7F6000"/>
      <name val="Arial"/>
      <charset val="1"/>
    </font>
    <font>
      <i/>
      <sz val="10"/>
      <color rgb="FF7F6000"/>
      <name val="Arial"/>
      <charset val="1"/>
    </font>
    <font>
      <i/>
      <sz val="9"/>
      <color rgb="FF7F6000"/>
      <name val="Arial"/>
      <charset val="1"/>
    </font>
    <font>
      <b/>
      <sz val="9"/>
      <color rgb="FF404040"/>
      <name val="Arial"/>
      <charset val="1"/>
    </font>
    <font>
      <sz val="9"/>
      <color rgb="FF404040"/>
      <name val="Arial"/>
      <charset val="1"/>
    </font>
    <font>
      <i/>
      <sz val="9"/>
      <color rgb="FF595959"/>
      <name val="Arial"/>
      <charset val="1"/>
    </font>
    <font>
      <sz val="10"/>
      <name val="Arial"/>
      <family val="2"/>
    </font>
    <font>
      <b/>
      <sz val="9"/>
      <name val="Arial"/>
      <charset val="1"/>
    </font>
    <font>
      <sz val="9"/>
      <name val="Arial"/>
      <charset val="1"/>
    </font>
    <font>
      <i/>
      <sz val="10"/>
      <color rgb="FF595959"/>
      <name val="Arial"/>
      <charset val="1"/>
    </font>
    <font>
      <i/>
      <sz val="10"/>
      <color rgb="FFC00000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  <fill>
      <patternFill patternType="solid">
        <fgColor rgb="FFD9E2F3"/>
        <bgColor rgb="FFF2F2F2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2" fillId="0" borderId="0" xfId="0" applyFont="1"/>
    <xf numFmtId="0" fontId="21" fillId="0" borderId="0" xfId="0" applyFont="1"/>
    <xf numFmtId="0" fontId="17" fillId="0" borderId="0" xfId="0" applyFont="1"/>
    <xf numFmtId="0" fontId="16" fillId="0" borderId="0" xfId="0" applyFont="1"/>
    <xf numFmtId="0" fontId="14" fillId="0" borderId="0" xfId="0" applyFont="1"/>
    <xf numFmtId="0" fontId="12" fillId="0" borderId="0" xfId="0" applyFont="1"/>
    <xf numFmtId="0" fontId="4" fillId="0" borderId="0" xfId="0" applyFont="1"/>
    <xf numFmtId="0" fontId="2" fillId="0" borderId="0" xfId="0" applyFont="1"/>
    <xf numFmtId="0" fontId="1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0" fontId="7" fillId="3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vertical="center" wrapText="1"/>
    </xf>
    <xf numFmtId="0" fontId="9" fillId="5" borderId="2" xfId="0" applyFont="1" applyFill="1" applyBorder="1" applyAlignment="1">
      <alignment vertical="center"/>
    </xf>
    <xf numFmtId="0" fontId="0" fillId="5" borderId="2" xfId="0" applyFill="1" applyBorder="1"/>
    <xf numFmtId="0" fontId="10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164" fontId="11" fillId="5" borderId="2" xfId="0" applyNumberFormat="1" applyFont="1" applyFill="1" applyBorder="1" applyAlignment="1">
      <alignment horizontal="center" vertical="center"/>
    </xf>
    <xf numFmtId="0" fontId="13" fillId="0" borderId="2" xfId="0" applyFont="1" applyBorder="1"/>
    <xf numFmtId="0" fontId="13" fillId="0" borderId="2" xfId="0" applyFont="1" applyBorder="1" applyAlignment="1">
      <alignment horizontal="center"/>
    </xf>
    <xf numFmtId="0" fontId="9" fillId="0" borderId="0" xfId="0" applyFont="1"/>
    <xf numFmtId="0" fontId="15" fillId="0" borderId="0" xfId="0" applyFont="1"/>
    <xf numFmtId="0" fontId="19" fillId="0" borderId="2" xfId="0" applyFont="1" applyBorder="1" applyAlignment="1">
      <alignment vertical="top" wrapText="1"/>
    </xf>
    <xf numFmtId="0" fontId="20" fillId="0" borderId="2" xfId="0" applyFont="1" applyBorder="1" applyAlignment="1">
      <alignment vertical="top" wrapText="1"/>
    </xf>
    <xf numFmtId="0" fontId="19" fillId="4" borderId="2" xfId="0" applyFont="1" applyFill="1" applyBorder="1" applyAlignment="1">
      <alignment vertical="top" wrapText="1"/>
    </xf>
    <xf numFmtId="0" fontId="20" fillId="4" borderId="2" xfId="0" applyFont="1" applyFill="1" applyBorder="1" applyAlignment="1">
      <alignment vertical="top" wrapText="1"/>
    </xf>
    <xf numFmtId="0" fontId="8" fillId="0" borderId="2" xfId="0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9" fillId="5" borderId="2" xfId="0" applyFont="1" applyFill="1" applyBorder="1"/>
    <xf numFmtId="0" fontId="10" fillId="5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6"/>
  <sheetViews>
    <sheetView showGridLines="0" tabSelected="1" zoomScaleNormal="100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 activeCell="A4" sqref="A4:XFD4"/>
    </sheetView>
  </sheetViews>
  <sheetFormatPr defaultColWidth="8.69140625" defaultRowHeight="14.6" x14ac:dyDescent="0.4"/>
  <cols>
    <col min="1" max="1" width="46" customWidth="1"/>
    <col min="2" max="2" width="9" customWidth="1"/>
    <col min="3" max="6" width="19" customWidth="1"/>
  </cols>
  <sheetData>
    <row r="1" spans="1:6" ht="20.149999999999999" x14ac:dyDescent="0.5">
      <c r="A1" s="9" t="s">
        <v>0</v>
      </c>
      <c r="B1" s="9"/>
      <c r="C1" s="9"/>
      <c r="D1" s="9"/>
      <c r="E1" s="9"/>
      <c r="F1" s="9"/>
    </row>
    <row r="2" spans="1:6" x14ac:dyDescent="0.4">
      <c r="A2" s="8" t="s">
        <v>1</v>
      </c>
      <c r="B2" s="8"/>
      <c r="C2" s="8"/>
      <c r="D2" s="8"/>
      <c r="E2" s="8"/>
      <c r="F2" s="8"/>
    </row>
    <row r="4" spans="1:6" x14ac:dyDescent="0.4">
      <c r="A4" s="10" t="s">
        <v>2</v>
      </c>
    </row>
    <row r="5" spans="1:6" x14ac:dyDescent="0.4">
      <c r="A5" s="7" t="s">
        <v>3</v>
      </c>
      <c r="B5" s="7"/>
      <c r="C5" s="7"/>
      <c r="D5" s="7"/>
      <c r="E5" s="7"/>
      <c r="F5" s="7"/>
    </row>
    <row r="6" spans="1:6" x14ac:dyDescent="0.4">
      <c r="A6" s="7" t="s">
        <v>4</v>
      </c>
      <c r="B6" s="7"/>
      <c r="C6" s="7"/>
      <c r="D6" s="7"/>
      <c r="E6" s="7"/>
      <c r="F6" s="7"/>
    </row>
    <row r="7" spans="1:6" x14ac:dyDescent="0.4">
      <c r="A7" s="7" t="s">
        <v>5</v>
      </c>
      <c r="B7" s="7"/>
      <c r="C7" s="7"/>
      <c r="D7" s="7"/>
      <c r="E7" s="7"/>
      <c r="F7" s="7"/>
    </row>
    <row r="8" spans="1:6" x14ac:dyDescent="0.4">
      <c r="A8" s="7" t="s">
        <v>6</v>
      </c>
      <c r="B8" s="7"/>
      <c r="C8" s="7"/>
      <c r="D8" s="7"/>
      <c r="E8" s="7"/>
      <c r="F8" s="7"/>
    </row>
    <row r="9" spans="1:6" x14ac:dyDescent="0.4">
      <c r="A9" s="7" t="s">
        <v>7</v>
      </c>
      <c r="B9" s="7"/>
      <c r="C9" s="7"/>
      <c r="D9" s="7"/>
      <c r="E9" s="7"/>
      <c r="F9" s="7"/>
    </row>
    <row r="11" spans="1:6" ht="33.75" customHeight="1" x14ac:dyDescent="0.4">
      <c r="A11" s="11" t="s">
        <v>8</v>
      </c>
      <c r="B11" s="11" t="s">
        <v>9</v>
      </c>
      <c r="C11" s="11" t="s">
        <v>10</v>
      </c>
      <c r="D11" s="11" t="s">
        <v>11</v>
      </c>
      <c r="E11" s="11" t="s">
        <v>12</v>
      </c>
      <c r="F11" s="11" t="s">
        <v>13</v>
      </c>
    </row>
    <row r="12" spans="1:6" ht="30" customHeight="1" x14ac:dyDescent="0.4">
      <c r="A12" s="12" t="s">
        <v>14</v>
      </c>
      <c r="B12" s="13">
        <v>1</v>
      </c>
      <c r="C12" s="14">
        <v>2</v>
      </c>
      <c r="D12" s="14">
        <v>4.5</v>
      </c>
      <c r="E12" s="14">
        <v>2.5</v>
      </c>
      <c r="F12" s="14">
        <v>4</v>
      </c>
    </row>
    <row r="13" spans="1:6" ht="30" customHeight="1" x14ac:dyDescent="0.4">
      <c r="A13" s="15" t="s">
        <v>15</v>
      </c>
      <c r="B13" s="13">
        <v>1</v>
      </c>
      <c r="C13" s="14">
        <v>3</v>
      </c>
      <c r="D13" s="14">
        <v>4</v>
      </c>
      <c r="E13" s="14">
        <v>2</v>
      </c>
      <c r="F13" s="14">
        <v>3</v>
      </c>
    </row>
    <row r="14" spans="1:6" ht="30" customHeight="1" x14ac:dyDescent="0.4">
      <c r="A14" s="12" t="s">
        <v>16</v>
      </c>
      <c r="B14" s="13">
        <v>1</v>
      </c>
      <c r="C14" s="14">
        <v>5</v>
      </c>
      <c r="D14" s="14">
        <v>4</v>
      </c>
      <c r="E14" s="14">
        <v>2</v>
      </c>
      <c r="F14" s="14">
        <v>3</v>
      </c>
    </row>
    <row r="15" spans="1:6" ht="30" customHeight="1" x14ac:dyDescent="0.4">
      <c r="A15" s="15" t="s">
        <v>17</v>
      </c>
      <c r="B15" s="13">
        <v>1</v>
      </c>
      <c r="C15" s="14">
        <v>4.5</v>
      </c>
      <c r="D15" s="14">
        <v>4</v>
      </c>
      <c r="E15" s="14">
        <v>2</v>
      </c>
      <c r="F15" s="14">
        <v>3</v>
      </c>
    </row>
    <row r="16" spans="1:6" ht="30" customHeight="1" x14ac:dyDescent="0.4">
      <c r="A16" s="12" t="s">
        <v>18</v>
      </c>
      <c r="B16" s="13">
        <v>1</v>
      </c>
      <c r="C16" s="14">
        <v>2</v>
      </c>
      <c r="D16" s="14">
        <v>3</v>
      </c>
      <c r="E16" s="14">
        <v>4</v>
      </c>
      <c r="F16" s="14">
        <v>4</v>
      </c>
    </row>
    <row r="17" spans="1:6" ht="30" customHeight="1" x14ac:dyDescent="0.4">
      <c r="A17" s="15" t="s">
        <v>19</v>
      </c>
      <c r="B17" s="13">
        <v>1</v>
      </c>
      <c r="C17" s="14">
        <v>4</v>
      </c>
      <c r="D17" s="14">
        <v>3.5</v>
      </c>
      <c r="E17" s="14">
        <v>2</v>
      </c>
      <c r="F17" s="14">
        <v>3</v>
      </c>
    </row>
    <row r="18" spans="1:6" ht="19.5" customHeight="1" x14ac:dyDescent="0.4">
      <c r="A18" s="16" t="s">
        <v>20</v>
      </c>
      <c r="B18" s="17"/>
      <c r="C18" s="18">
        <f>SUM(C12:C17)</f>
        <v>20.5</v>
      </c>
      <c r="D18" s="18">
        <f>SUM(D12:D17)</f>
        <v>23</v>
      </c>
      <c r="E18" s="18">
        <f>SUM(E12:E17)</f>
        <v>14.5</v>
      </c>
      <c r="F18" s="18">
        <f>SUM(F12:F17)</f>
        <v>20</v>
      </c>
    </row>
    <row r="19" spans="1:6" ht="19.5" customHeight="1" x14ac:dyDescent="0.4">
      <c r="A19" s="16" t="s">
        <v>21</v>
      </c>
      <c r="B19" s="17"/>
      <c r="C19" s="18">
        <f>SUMPRODUCT($B$12:$B$17,C12:C17)</f>
        <v>20.5</v>
      </c>
      <c r="D19" s="18">
        <f>SUMPRODUCT($B$12:$B$17,D12:D17)</f>
        <v>23</v>
      </c>
      <c r="E19" s="18">
        <f>SUMPRODUCT($B$12:$B$17,E12:E17)</f>
        <v>14.5</v>
      </c>
      <c r="F19" s="18">
        <f>SUMPRODUCT($B$12:$B$17,F12:F17)</f>
        <v>20</v>
      </c>
    </row>
    <row r="20" spans="1:6" ht="19.5" customHeight="1" x14ac:dyDescent="0.4">
      <c r="A20" s="16" t="s">
        <v>22</v>
      </c>
      <c r="B20" s="17"/>
      <c r="C20" s="19">
        <f>SUM($B$12:$B$17)*5</f>
        <v>30</v>
      </c>
      <c r="D20" s="19">
        <f>SUM($B$12:$B$17)*5</f>
        <v>30</v>
      </c>
      <c r="E20" s="19">
        <f>SUM($B$12:$B$17)*5</f>
        <v>30</v>
      </c>
      <c r="F20" s="19">
        <f>SUM($B$12:$B$17)*5</f>
        <v>30</v>
      </c>
    </row>
    <row r="21" spans="1:6" ht="19.5" customHeight="1" x14ac:dyDescent="0.4">
      <c r="A21" s="16" t="s">
        <v>23</v>
      </c>
      <c r="B21" s="17"/>
      <c r="C21" s="20">
        <f>IFERROR(C19/C20,"")</f>
        <v>0.68333333333333335</v>
      </c>
      <c r="D21" s="20">
        <f>IFERROR(D19/D20,"")</f>
        <v>0.76666666666666672</v>
      </c>
      <c r="E21" s="20">
        <f>IFERROR(E19/E20,"")</f>
        <v>0.48333333333333334</v>
      </c>
      <c r="F21" s="20">
        <f>IFERROR(F19/F20,"")</f>
        <v>0.66666666666666663</v>
      </c>
    </row>
    <row r="22" spans="1:6" ht="19.5" customHeight="1" x14ac:dyDescent="0.4">
      <c r="A22" s="16" t="s">
        <v>24</v>
      </c>
      <c r="B22" s="17"/>
      <c r="C22" s="19">
        <f>IF(SUM($C$18:$F$18)=0,"",RANK(C19,$C$19:$F$19))</f>
        <v>2</v>
      </c>
      <c r="D22" s="19">
        <f>IF(SUM($C$18:$F$18)=0,"",RANK(D19,$C$19:$F$19))</f>
        <v>1</v>
      </c>
      <c r="E22" s="19">
        <f>IF(SUM($C$18:$F$18)=0,"",RANK(E19,$C$19:$F$19))</f>
        <v>4</v>
      </c>
      <c r="F22" s="19">
        <f>IF(SUM($C$18:$F$18)=0,"",RANK(F19,$C$19:$F$19))</f>
        <v>3</v>
      </c>
    </row>
    <row r="25" spans="1:6" x14ac:dyDescent="0.4">
      <c r="A25" s="6" t="s">
        <v>25</v>
      </c>
      <c r="B25" s="6"/>
      <c r="C25" s="6"/>
      <c r="D25" s="6"/>
      <c r="E25" s="6"/>
      <c r="F25" s="6"/>
    </row>
    <row r="26" spans="1:6" x14ac:dyDescent="0.4">
      <c r="A26" s="21" t="s">
        <v>16</v>
      </c>
      <c r="B26" s="22">
        <v>2</v>
      </c>
      <c r="C26" s="22">
        <v>5</v>
      </c>
      <c r="D26" s="22">
        <v>4</v>
      </c>
      <c r="E26" s="22">
        <v>3</v>
      </c>
      <c r="F26" s="22">
        <v>2</v>
      </c>
    </row>
    <row r="27" spans="1:6" x14ac:dyDescent="0.4">
      <c r="A27" s="5" t="s">
        <v>26</v>
      </c>
      <c r="B27" s="5"/>
      <c r="C27" s="5"/>
      <c r="D27" s="5"/>
      <c r="E27" s="5"/>
      <c r="F27" s="5"/>
    </row>
    <row r="29" spans="1:6" x14ac:dyDescent="0.4">
      <c r="A29" s="23" t="s">
        <v>27</v>
      </c>
    </row>
    <row r="30" spans="1:6" x14ac:dyDescent="0.4">
      <c r="A30" s="24" t="s">
        <v>28</v>
      </c>
      <c r="B30" s="4" t="s">
        <v>29</v>
      </c>
      <c r="C30" s="4"/>
      <c r="D30" s="4"/>
      <c r="E30" s="4"/>
      <c r="F30" s="4"/>
    </row>
    <row r="31" spans="1:6" x14ac:dyDescent="0.4">
      <c r="A31" s="24" t="s">
        <v>30</v>
      </c>
      <c r="B31" s="4" t="s">
        <v>31</v>
      </c>
      <c r="C31" s="4"/>
      <c r="D31" s="4"/>
      <c r="E31" s="4"/>
      <c r="F31" s="4"/>
    </row>
    <row r="32" spans="1:6" x14ac:dyDescent="0.4">
      <c r="A32" s="24" t="s">
        <v>32</v>
      </c>
      <c r="B32" s="4" t="s">
        <v>33</v>
      </c>
      <c r="C32" s="4"/>
      <c r="D32" s="4"/>
      <c r="E32" s="4"/>
      <c r="F32" s="4"/>
    </row>
    <row r="33" spans="1:6" x14ac:dyDescent="0.4">
      <c r="A33" s="24" t="s">
        <v>34</v>
      </c>
      <c r="B33" s="4" t="s">
        <v>35</v>
      </c>
      <c r="C33" s="4"/>
      <c r="D33" s="4"/>
      <c r="E33" s="4"/>
      <c r="F33" s="4"/>
    </row>
    <row r="35" spans="1:6" x14ac:dyDescent="0.4">
      <c r="A35" s="3" t="s">
        <v>36</v>
      </c>
      <c r="B35" s="3"/>
      <c r="C35" s="3"/>
      <c r="D35" s="3"/>
      <c r="E35" s="3"/>
      <c r="F35" s="3"/>
    </row>
    <row r="36" spans="1:6" x14ac:dyDescent="0.4">
      <c r="A36" s="3"/>
      <c r="B36" s="3"/>
      <c r="C36" s="3"/>
      <c r="D36" s="3"/>
      <c r="E36" s="3"/>
      <c r="F36" s="3"/>
    </row>
  </sheetData>
  <mergeCells count="14">
    <mergeCell ref="B31:F31"/>
    <mergeCell ref="B32:F32"/>
    <mergeCell ref="B33:F33"/>
    <mergeCell ref="A35:F36"/>
    <mergeCell ref="A8:F8"/>
    <mergeCell ref="A9:F9"/>
    <mergeCell ref="A25:F25"/>
    <mergeCell ref="A27:F27"/>
    <mergeCell ref="B30:F30"/>
    <mergeCell ref="A1:F1"/>
    <mergeCell ref="A2:F2"/>
    <mergeCell ref="A5:F5"/>
    <mergeCell ref="A6:F6"/>
    <mergeCell ref="A7:F7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9140625" defaultRowHeight="14.6" x14ac:dyDescent="0.4"/>
  <cols>
    <col min="1" max="1" width="30" customWidth="1"/>
    <col min="2" max="2" width="44" customWidth="1"/>
    <col min="3" max="4" width="34" customWidth="1"/>
    <col min="5" max="5" width="44" customWidth="1"/>
  </cols>
  <sheetData>
    <row r="1" spans="1:5" ht="20.149999999999999" x14ac:dyDescent="0.5">
      <c r="A1" s="9" t="s">
        <v>37</v>
      </c>
      <c r="B1" s="9"/>
      <c r="C1" s="9"/>
      <c r="D1" s="9"/>
      <c r="E1" s="9"/>
    </row>
    <row r="2" spans="1:5" x14ac:dyDescent="0.4">
      <c r="A2" s="8" t="s">
        <v>38</v>
      </c>
      <c r="B2" s="8"/>
      <c r="C2" s="8"/>
      <c r="D2" s="8"/>
      <c r="E2" s="8"/>
    </row>
    <row r="4" spans="1:5" ht="30" customHeight="1" x14ac:dyDescent="0.4">
      <c r="A4" s="11" t="s">
        <v>8</v>
      </c>
      <c r="B4" s="11" t="s">
        <v>39</v>
      </c>
      <c r="C4" s="11" t="s">
        <v>40</v>
      </c>
      <c r="D4" s="11" t="s">
        <v>41</v>
      </c>
      <c r="E4" s="11" t="s">
        <v>42</v>
      </c>
    </row>
    <row r="5" spans="1:5" ht="78" customHeight="1" x14ac:dyDescent="0.4">
      <c r="A5" s="25" t="s">
        <v>14</v>
      </c>
      <c r="B5" s="26" t="s">
        <v>43</v>
      </c>
      <c r="C5" s="26" t="s">
        <v>44</v>
      </c>
      <c r="D5" s="26" t="s">
        <v>45</v>
      </c>
      <c r="E5" s="26" t="s">
        <v>46</v>
      </c>
    </row>
    <row r="6" spans="1:5" ht="78" customHeight="1" x14ac:dyDescent="0.4">
      <c r="A6" s="27" t="s">
        <v>15</v>
      </c>
      <c r="B6" s="28" t="s">
        <v>47</v>
      </c>
      <c r="C6" s="28" t="s">
        <v>48</v>
      </c>
      <c r="D6" s="28" t="s">
        <v>49</v>
      </c>
      <c r="E6" s="28" t="s">
        <v>50</v>
      </c>
    </row>
    <row r="7" spans="1:5" ht="78" customHeight="1" x14ac:dyDescent="0.4">
      <c r="A7" s="25" t="s">
        <v>16</v>
      </c>
      <c r="B7" s="26" t="s">
        <v>51</v>
      </c>
      <c r="C7" s="26" t="s">
        <v>52</v>
      </c>
      <c r="D7" s="26" t="s">
        <v>53</v>
      </c>
      <c r="E7" s="26" t="s">
        <v>54</v>
      </c>
    </row>
    <row r="8" spans="1:5" ht="78" customHeight="1" x14ac:dyDescent="0.4">
      <c r="A8" s="27" t="s">
        <v>17</v>
      </c>
      <c r="B8" s="28" t="s">
        <v>55</v>
      </c>
      <c r="C8" s="28" t="s">
        <v>56</v>
      </c>
      <c r="D8" s="28" t="s">
        <v>57</v>
      </c>
      <c r="E8" s="28" t="s">
        <v>58</v>
      </c>
    </row>
    <row r="9" spans="1:5" ht="78" customHeight="1" x14ac:dyDescent="0.4">
      <c r="A9" s="25" t="s">
        <v>18</v>
      </c>
      <c r="B9" s="26" t="s">
        <v>59</v>
      </c>
      <c r="C9" s="26" t="s">
        <v>60</v>
      </c>
      <c r="D9" s="26" t="s">
        <v>61</v>
      </c>
      <c r="E9" s="26" t="s">
        <v>62</v>
      </c>
    </row>
    <row r="10" spans="1:5" ht="78" customHeight="1" x14ac:dyDescent="0.4">
      <c r="A10" s="27" t="s">
        <v>19</v>
      </c>
      <c r="B10" s="28" t="s">
        <v>63</v>
      </c>
      <c r="C10" s="28" t="s">
        <v>64</v>
      </c>
      <c r="D10" s="28" t="s">
        <v>65</v>
      </c>
      <c r="E10" s="28" t="s">
        <v>66</v>
      </c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9140625" defaultRowHeight="14.6" x14ac:dyDescent="0.4"/>
  <cols>
    <col min="1" max="1" width="46" customWidth="1"/>
    <col min="2" max="5" width="19" customWidth="1"/>
  </cols>
  <sheetData>
    <row r="1" spans="1:6" ht="20.149999999999999" x14ac:dyDescent="0.5">
      <c r="A1" s="9" t="s">
        <v>67</v>
      </c>
      <c r="B1" s="9"/>
      <c r="C1" s="9"/>
      <c r="D1" s="9"/>
      <c r="E1" s="9"/>
      <c r="F1" s="9"/>
    </row>
    <row r="2" spans="1:6" x14ac:dyDescent="0.4">
      <c r="A2" s="2" t="s">
        <v>68</v>
      </c>
      <c r="B2" s="2"/>
      <c r="C2" s="2"/>
      <c r="D2" s="2"/>
      <c r="E2" s="2"/>
      <c r="F2" s="2"/>
    </row>
    <row r="3" spans="1:6" x14ac:dyDescent="0.4">
      <c r="A3" s="1" t="s">
        <v>69</v>
      </c>
      <c r="B3" s="1"/>
      <c r="C3" s="1"/>
      <c r="D3" s="1"/>
      <c r="E3" s="1"/>
      <c r="F3" s="1"/>
    </row>
    <row r="5" spans="1:6" ht="30" customHeight="1" x14ac:dyDescent="0.4">
      <c r="A5" s="11" t="s">
        <v>8</v>
      </c>
      <c r="B5" s="11" t="s">
        <v>10</v>
      </c>
      <c r="C5" s="11" t="s">
        <v>11</v>
      </c>
      <c r="D5" s="11" t="s">
        <v>12</v>
      </c>
      <c r="E5" s="11" t="s">
        <v>13</v>
      </c>
    </row>
    <row r="6" spans="1:6" ht="30" customHeight="1" x14ac:dyDescent="0.4">
      <c r="A6" s="12" t="s">
        <v>14</v>
      </c>
      <c r="B6" s="29">
        <v>5</v>
      </c>
      <c r="C6" s="29">
        <v>4</v>
      </c>
      <c r="D6" s="29">
        <v>5</v>
      </c>
      <c r="E6" s="29">
        <v>4</v>
      </c>
    </row>
    <row r="7" spans="1:6" ht="30" customHeight="1" x14ac:dyDescent="0.4">
      <c r="A7" s="15" t="s">
        <v>15</v>
      </c>
      <c r="B7" s="30">
        <v>5</v>
      </c>
      <c r="C7" s="30">
        <v>5</v>
      </c>
      <c r="D7" s="30">
        <v>4</v>
      </c>
      <c r="E7" s="30">
        <v>3</v>
      </c>
    </row>
    <row r="8" spans="1:6" ht="30" customHeight="1" x14ac:dyDescent="0.4">
      <c r="A8" s="12" t="s">
        <v>16</v>
      </c>
      <c r="B8" s="29">
        <v>5</v>
      </c>
      <c r="C8" s="29">
        <v>4</v>
      </c>
      <c r="D8" s="29">
        <v>3</v>
      </c>
      <c r="E8" s="29">
        <v>2</v>
      </c>
    </row>
    <row r="9" spans="1:6" ht="30" customHeight="1" x14ac:dyDescent="0.4">
      <c r="A9" s="15" t="s">
        <v>17</v>
      </c>
      <c r="B9" s="30">
        <v>5</v>
      </c>
      <c r="C9" s="30">
        <v>5</v>
      </c>
      <c r="D9" s="30">
        <v>4</v>
      </c>
      <c r="E9" s="30">
        <v>3</v>
      </c>
    </row>
    <row r="10" spans="1:6" ht="30" customHeight="1" x14ac:dyDescent="0.4">
      <c r="A10" s="12" t="s">
        <v>18</v>
      </c>
      <c r="B10" s="29">
        <v>2</v>
      </c>
      <c r="C10" s="29">
        <v>2</v>
      </c>
      <c r="D10" s="29">
        <v>4</v>
      </c>
      <c r="E10" s="29">
        <v>4</v>
      </c>
    </row>
    <row r="11" spans="1:6" ht="30" customHeight="1" x14ac:dyDescent="0.4">
      <c r="A11" s="15" t="s">
        <v>19</v>
      </c>
      <c r="B11" s="30">
        <v>4</v>
      </c>
      <c r="C11" s="30">
        <v>4</v>
      </c>
      <c r="D11" s="30">
        <v>4</v>
      </c>
      <c r="E11" s="30">
        <v>4</v>
      </c>
    </row>
    <row r="12" spans="1:6" x14ac:dyDescent="0.4">
      <c r="A12" s="31" t="s">
        <v>70</v>
      </c>
      <c r="B12" s="32">
        <f>SUM(B6:B11)</f>
        <v>26</v>
      </c>
      <c r="C12" s="32">
        <f>SUM(C6:C11)</f>
        <v>24</v>
      </c>
      <c r="D12" s="32">
        <f>SUM(D6:D11)</f>
        <v>24</v>
      </c>
      <c r="E12" s="32">
        <f>SUM(E6:E11)</f>
        <v>20</v>
      </c>
    </row>
    <row r="14" spans="1:6" x14ac:dyDescent="0.4">
      <c r="A14" s="3" t="s">
        <v>71</v>
      </c>
      <c r="B14" s="3"/>
      <c r="C14" s="3"/>
      <c r="D14" s="3"/>
      <c r="E14" s="3"/>
    </row>
    <row r="16" spans="1:6" x14ac:dyDescent="0.4">
      <c r="A16" s="23" t="s">
        <v>72</v>
      </c>
    </row>
    <row r="17" spans="1:5" x14ac:dyDescent="0.4">
      <c r="A17" s="4" t="s">
        <v>73</v>
      </c>
      <c r="B17" s="4"/>
      <c r="C17" s="4"/>
      <c r="D17" s="4"/>
      <c r="E17" s="4"/>
    </row>
    <row r="18" spans="1:5" x14ac:dyDescent="0.4">
      <c r="A18" s="4" t="s">
        <v>74</v>
      </c>
      <c r="B18" s="4"/>
      <c r="C18" s="4"/>
      <c r="D18" s="4"/>
      <c r="E18" s="4"/>
    </row>
  </sheetData>
  <mergeCells count="6">
    <mergeCell ref="A18:E18"/>
    <mergeCell ref="A1:F1"/>
    <mergeCell ref="A2:F2"/>
    <mergeCell ref="A3:F3"/>
    <mergeCell ref="A14:E14"/>
    <mergeCell ref="A17:E17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Scoring</vt:lpstr>
      <vt:lpstr>Criteria Guide</vt:lpstr>
      <vt:lpstr>Reference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Chris Leigh</cp:lastModifiedBy>
  <cp:revision>0</cp:revision>
  <dcterms:created xsi:type="dcterms:W3CDTF">2026-09-22T00:42:04Z</dcterms:created>
  <dcterms:modified xsi:type="dcterms:W3CDTF">2026-09-22T11:33:15Z</dcterms:modified>
  <dc:language>en-US</dc:language>
</cp:coreProperties>
</file>