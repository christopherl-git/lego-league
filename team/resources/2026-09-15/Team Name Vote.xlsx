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8971c8165aac54/Documents/FLL/"/>
    </mc:Choice>
  </mc:AlternateContent>
  <xr:revisionPtr revIDLastSave="0" documentId="8_{6102674C-FF34-4658-B1FA-DEC89A92EF2D}" xr6:coauthVersionLast="47" xr6:coauthVersionMax="47" xr10:uidLastSave="{00000000-0000-0000-0000-000000000000}"/>
  <bookViews>
    <workbookView xWindow="-103" yWindow="-103" windowWidth="27634" windowHeight="16629" xr2:uid="{43746F3C-125A-443A-B47B-DF32410E010A}"/>
  </bookViews>
  <sheets>
    <sheet name="Sheet1" sheetId="1" r:id="rId1"/>
    <sheet name="Announc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15" i="2"/>
  <c r="D13" i="2"/>
  <c r="C13" i="2"/>
  <c r="D12" i="2"/>
  <c r="C12" i="2"/>
  <c r="D11" i="2"/>
  <c r="C11" i="2"/>
  <c r="B7" i="2"/>
  <c r="B4" i="2"/>
  <c r="G19" i="1"/>
  <c r="F14" i="1"/>
  <c r="I14" i="1" s="1"/>
  <c r="F13" i="1"/>
  <c r="I13" i="1" s="1"/>
  <c r="F12" i="1"/>
  <c r="I12" i="1" s="1"/>
  <c r="I11" i="1"/>
  <c r="H11" i="1"/>
  <c r="F11" i="1"/>
  <c r="G11" i="1" s="1"/>
  <c r="F10" i="1"/>
  <c r="I10" i="1" s="1"/>
  <c r="I9" i="1"/>
  <c r="H9" i="1"/>
  <c r="F9" i="1"/>
  <c r="G9" i="1" s="1"/>
  <c r="I8" i="1"/>
  <c r="H8" i="1"/>
  <c r="G8" i="1"/>
  <c r="F8" i="1"/>
  <c r="I7" i="1"/>
  <c r="H7" i="1"/>
  <c r="G7" i="1"/>
  <c r="F7" i="1"/>
  <c r="K7" i="1" l="1"/>
  <c r="J8" i="1"/>
  <c r="J7" i="1"/>
  <c r="K11" i="1"/>
  <c r="J11" i="1"/>
  <c r="K9" i="1"/>
  <c r="J9" i="1"/>
  <c r="G10" i="1"/>
  <c r="G12" i="1"/>
  <c r="K8" i="1"/>
  <c r="H12" i="1"/>
  <c r="H10" i="1"/>
  <c r="G13" i="1"/>
  <c r="H13" i="1"/>
  <c r="G14" i="1"/>
  <c r="H14" i="1"/>
  <c r="K14" i="1" l="1"/>
  <c r="J14" i="1"/>
  <c r="K13" i="1"/>
  <c r="L13" i="1" s="1"/>
  <c r="J13" i="1"/>
  <c r="K12" i="1"/>
  <c r="J12" i="1"/>
  <c r="K10" i="1"/>
  <c r="J10" i="1"/>
  <c r="L7" i="1" l="1"/>
  <c r="L12" i="1"/>
  <c r="L10" i="1"/>
  <c r="L14" i="1"/>
  <c r="G18" i="1"/>
  <c r="G20" i="1"/>
  <c r="G17" i="1"/>
  <c r="L11" i="1"/>
  <c r="L8" i="1"/>
  <c r="L9" i="1"/>
</calcChain>
</file>

<file path=xl/sharedStrings.xml><?xml version="1.0" encoding="utf-8"?>
<sst xmlns="http://schemas.openxmlformats.org/spreadsheetml/2006/main" count="74" uniqueCount="41">
  <si>
    <t>Team Name</t>
  </si>
  <si>
    <t>Failthful Chicken</t>
  </si>
  <si>
    <t>Hipoduckalruses</t>
  </si>
  <si>
    <t>Terrable Termits</t>
  </si>
  <si>
    <t>Coding Koalas</t>
  </si>
  <si>
    <t>Kanadian Koalas</t>
  </si>
  <si>
    <t xml:space="preserve">Problem Solving Peguins </t>
  </si>
  <si>
    <t>Programming Peguins</t>
  </si>
  <si>
    <t>Look it’s a Giraffe!</t>
  </si>
  <si>
    <t>Voter</t>
  </si>
  <si>
    <t>1st Choice</t>
  </si>
  <si>
    <t>2nd Choice</t>
  </si>
  <si>
    <t>3rd Choice</t>
  </si>
  <si>
    <t>Voter 1</t>
  </si>
  <si>
    <t>Voter 2</t>
  </si>
  <si>
    <t>Voter 3</t>
  </si>
  <si>
    <t>Voter 4</t>
  </si>
  <si>
    <t>Voter 5</t>
  </si>
  <si>
    <t>Voter 6</t>
  </si>
  <si>
    <t>Voter 7</t>
  </si>
  <si>
    <t>Voter 8</t>
  </si>
  <si>
    <t>Voter 9</t>
  </si>
  <si>
    <t>Scoring Weights</t>
  </si>
  <si>
    <t>1st choice</t>
  </si>
  <si>
    <t>2nd choice</t>
  </si>
  <si>
    <t>3rd choice</t>
  </si>
  <si>
    <t>1st</t>
  </si>
  <si>
    <t>2nd</t>
  </si>
  <si>
    <t>3rd</t>
  </si>
  <si>
    <t>Total Votes</t>
  </si>
  <si>
    <t>Points</t>
  </si>
  <si>
    <t>Rank</t>
  </si>
  <si>
    <t>RESULT</t>
  </si>
  <si>
    <t>Winning name</t>
  </si>
  <si>
    <t>Winning points</t>
  </si>
  <si>
    <t>Ballots cast</t>
  </si>
  <si>
    <t>Tie for first?</t>
  </si>
  <si>
    <t>🥁 THE VOTES ARE IN 🥁</t>
  </si>
  <si>
    <t>FULL RESULTS</t>
  </si>
  <si>
    <t>Name</t>
  </si>
  <si>
    <t>Thanks to everyone who voted. Update your slides, your standup notes, and your sense of self accordingly. 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</si>
</sst>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rgb="FF2E7D3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0" fillId="4" borderId="1" xfId="0" applyFill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font>
        <b/>
        <i val="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5AEE8B-8BC2-4ECB-AAA1-4A6200AB245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8658c56-5a2c-44be-a9b0-520c47758c1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435D-F7F7-4CCA-B7E4-1F806657F8D7}">
  <dimension ref="A1:L20"/>
  <sheetViews>
    <sheetView tabSelected="1" workbookViewId="0">
      <selection activeCell="F38" sqref="F38"/>
    </sheetView>
  </sheetViews>
  <sheetFormatPr defaultRowHeight="14.6" x14ac:dyDescent="0.4"/>
  <cols>
    <col min="1" max="1" width="28.69140625" customWidth="1"/>
    <col min="2" max="4" width="26.921875" customWidth="1"/>
    <col min="6" max="6" width="28.69140625" customWidth="1"/>
    <col min="7" max="12" width="12.53515625" customWidth="1"/>
  </cols>
  <sheetData>
    <row r="1" spans="1:12" x14ac:dyDescent="0.4">
      <c r="A1" s="2" t="s">
        <v>0</v>
      </c>
      <c r="F1" s="2" t="s">
        <v>22</v>
      </c>
    </row>
    <row r="2" spans="1:12" x14ac:dyDescent="0.4">
      <c r="A2" t="s">
        <v>1</v>
      </c>
      <c r="F2" t="s">
        <v>23</v>
      </c>
      <c r="G2" s="3">
        <v>3</v>
      </c>
    </row>
    <row r="3" spans="1:12" x14ac:dyDescent="0.4">
      <c r="A3" t="s">
        <v>2</v>
      </c>
      <c r="F3" t="s">
        <v>24</v>
      </c>
      <c r="G3" s="3">
        <v>2</v>
      </c>
    </row>
    <row r="4" spans="1:12" x14ac:dyDescent="0.4">
      <c r="A4" t="s">
        <v>3</v>
      </c>
      <c r="F4" t="s">
        <v>25</v>
      </c>
      <c r="G4" s="3">
        <v>1</v>
      </c>
    </row>
    <row r="5" spans="1:12" x14ac:dyDescent="0.4">
      <c r="A5" t="s">
        <v>4</v>
      </c>
    </row>
    <row r="6" spans="1:12" x14ac:dyDescent="0.4">
      <c r="A6" t="s">
        <v>5</v>
      </c>
      <c r="F6" s="2" t="s">
        <v>0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</row>
    <row r="7" spans="1:12" x14ac:dyDescent="0.4">
      <c r="A7" t="s">
        <v>6</v>
      </c>
      <c r="F7" t="str">
        <f>A2</f>
        <v>Failthful Chicken</v>
      </c>
      <c r="G7">
        <f>COUNTIF($B$12:$B$20,$F7)</f>
        <v>0</v>
      </c>
      <c r="H7">
        <f>COUNTIF($C$12:$C$20,$F7)</f>
        <v>0</v>
      </c>
      <c r="I7">
        <f>COUNTIF($D$12:$D$20,$F7)</f>
        <v>1</v>
      </c>
      <c r="J7">
        <f>SUM($G7:$I7)</f>
        <v>1</v>
      </c>
      <c r="K7">
        <f>$G7*$G$2+$H7*$G$3+$I7*$G$4</f>
        <v>1</v>
      </c>
      <c r="L7">
        <f>IF($K7=0,"-",RANK($K7,$K$7:$K$14))</f>
        <v>6</v>
      </c>
    </row>
    <row r="8" spans="1:12" x14ac:dyDescent="0.4">
      <c r="A8" t="s">
        <v>7</v>
      </c>
      <c r="F8" t="str">
        <f t="shared" ref="F8:F14" si="0">A3</f>
        <v>Hipoduckalruses</v>
      </c>
      <c r="G8">
        <f t="shared" ref="G8:G14" si="1">COUNTIF($B$12:$B$20,$F8)</f>
        <v>1</v>
      </c>
      <c r="H8">
        <f t="shared" ref="H8:H14" si="2">COUNTIF($C$12:$C$20,$F8)</f>
        <v>6</v>
      </c>
      <c r="I8">
        <f t="shared" ref="I8:I14" si="3">COUNTIF($D$12:$D$20,$F8)</f>
        <v>2</v>
      </c>
      <c r="J8">
        <f t="shared" ref="J8:J14" si="4">SUM($G8:$I8)</f>
        <v>9</v>
      </c>
      <c r="K8">
        <f t="shared" ref="K8:K14" si="5">$G8*$G$2+$H8*$G$3+$I8*$G$4</f>
        <v>17</v>
      </c>
      <c r="L8">
        <f t="shared" ref="L8:L14" si="6">IF($K8=0,"-",RANK($K8,$K$7:$K$14))</f>
        <v>2</v>
      </c>
    </row>
    <row r="9" spans="1:12" x14ac:dyDescent="0.4">
      <c r="A9" t="s">
        <v>8</v>
      </c>
      <c r="F9" t="str">
        <f t="shared" si="0"/>
        <v>Terrable Termits</v>
      </c>
      <c r="G9">
        <f t="shared" si="1"/>
        <v>0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0</v>
      </c>
      <c r="L9" t="str">
        <f t="shared" si="6"/>
        <v>-</v>
      </c>
    </row>
    <row r="10" spans="1:12" x14ac:dyDescent="0.4">
      <c r="F10" t="str">
        <f t="shared" si="0"/>
        <v>Coding Koalas</v>
      </c>
      <c r="G10">
        <f t="shared" si="1"/>
        <v>0</v>
      </c>
      <c r="H10">
        <f t="shared" si="2"/>
        <v>1</v>
      </c>
      <c r="I10">
        <f t="shared" si="3"/>
        <v>1</v>
      </c>
      <c r="J10">
        <f t="shared" si="4"/>
        <v>2</v>
      </c>
      <c r="K10">
        <f t="shared" si="5"/>
        <v>3</v>
      </c>
      <c r="L10">
        <f t="shared" si="6"/>
        <v>4</v>
      </c>
    </row>
    <row r="11" spans="1:12" x14ac:dyDescent="0.4">
      <c r="A11" s="2" t="s">
        <v>9</v>
      </c>
      <c r="B11" s="2" t="s">
        <v>10</v>
      </c>
      <c r="C11" s="2" t="s">
        <v>11</v>
      </c>
      <c r="D11" s="2" t="s">
        <v>12</v>
      </c>
      <c r="F11" t="str">
        <f t="shared" si="0"/>
        <v>Kanadian Koalas</v>
      </c>
      <c r="G11">
        <f t="shared" si="1"/>
        <v>1</v>
      </c>
      <c r="H11">
        <f t="shared" si="2"/>
        <v>1</v>
      </c>
      <c r="I11">
        <f t="shared" si="3"/>
        <v>3</v>
      </c>
      <c r="J11">
        <f t="shared" si="4"/>
        <v>5</v>
      </c>
      <c r="K11">
        <f t="shared" si="5"/>
        <v>8</v>
      </c>
      <c r="L11">
        <f t="shared" si="6"/>
        <v>3</v>
      </c>
    </row>
    <row r="12" spans="1:12" x14ac:dyDescent="0.4">
      <c r="A12" t="s">
        <v>13</v>
      </c>
      <c r="B12" s="5" t="s">
        <v>8</v>
      </c>
      <c r="C12" s="5" t="s">
        <v>5</v>
      </c>
      <c r="D12" s="5" t="s">
        <v>2</v>
      </c>
      <c r="F12" t="str">
        <f t="shared" si="0"/>
        <v xml:space="preserve">Problem Solving Peguins </v>
      </c>
      <c r="G12">
        <f t="shared" si="1"/>
        <v>1</v>
      </c>
      <c r="H12">
        <f t="shared" si="2"/>
        <v>0</v>
      </c>
      <c r="I12">
        <f t="shared" si="3"/>
        <v>0</v>
      </c>
      <c r="J12">
        <f t="shared" si="4"/>
        <v>1</v>
      </c>
      <c r="K12">
        <f t="shared" si="5"/>
        <v>3</v>
      </c>
      <c r="L12">
        <f t="shared" si="6"/>
        <v>4</v>
      </c>
    </row>
    <row r="13" spans="1:12" x14ac:dyDescent="0.4">
      <c r="A13" t="s">
        <v>14</v>
      </c>
      <c r="B13" s="5" t="s">
        <v>8</v>
      </c>
      <c r="C13" s="5" t="s">
        <v>2</v>
      </c>
      <c r="D13" s="5" t="s">
        <v>5</v>
      </c>
      <c r="F13" t="str">
        <f t="shared" si="0"/>
        <v>Programming Peguins</v>
      </c>
      <c r="G13">
        <f t="shared" si="1"/>
        <v>0</v>
      </c>
      <c r="H13">
        <f t="shared" si="2"/>
        <v>0</v>
      </c>
      <c r="I13">
        <f t="shared" si="3"/>
        <v>0</v>
      </c>
      <c r="J13">
        <f t="shared" si="4"/>
        <v>0</v>
      </c>
      <c r="K13">
        <f t="shared" si="5"/>
        <v>0</v>
      </c>
      <c r="L13" t="str">
        <f t="shared" si="6"/>
        <v>-</v>
      </c>
    </row>
    <row r="14" spans="1:12" x14ac:dyDescent="0.4">
      <c r="A14" t="s">
        <v>15</v>
      </c>
      <c r="B14" s="5" t="s">
        <v>8</v>
      </c>
      <c r="C14" s="5" t="s">
        <v>2</v>
      </c>
      <c r="D14" s="5" t="s">
        <v>4</v>
      </c>
      <c r="F14" t="str">
        <f t="shared" si="0"/>
        <v>Look it’s a Giraffe!</v>
      </c>
      <c r="G14">
        <f t="shared" si="1"/>
        <v>6</v>
      </c>
      <c r="H14">
        <f t="shared" si="2"/>
        <v>1</v>
      </c>
      <c r="I14">
        <f t="shared" si="3"/>
        <v>2</v>
      </c>
      <c r="J14">
        <f t="shared" si="4"/>
        <v>9</v>
      </c>
      <c r="K14">
        <f t="shared" si="5"/>
        <v>22</v>
      </c>
      <c r="L14">
        <f t="shared" si="6"/>
        <v>1</v>
      </c>
    </row>
    <row r="15" spans="1:12" x14ac:dyDescent="0.4">
      <c r="A15" t="s">
        <v>16</v>
      </c>
      <c r="B15" s="5" t="s">
        <v>5</v>
      </c>
      <c r="C15" s="5" t="s">
        <v>2</v>
      </c>
      <c r="D15" s="5" t="s">
        <v>8</v>
      </c>
    </row>
    <row r="16" spans="1:12" x14ac:dyDescent="0.4">
      <c r="A16" t="s">
        <v>17</v>
      </c>
      <c r="B16" s="5" t="s">
        <v>6</v>
      </c>
      <c r="C16" s="5" t="s">
        <v>2</v>
      </c>
      <c r="D16" s="5" t="s">
        <v>8</v>
      </c>
      <c r="F16" s="4" t="s">
        <v>32</v>
      </c>
    </row>
    <row r="17" spans="1:7" x14ac:dyDescent="0.4">
      <c r="A17" t="s">
        <v>18</v>
      </c>
      <c r="B17" s="5" t="s">
        <v>8</v>
      </c>
      <c r="C17" s="5" t="s">
        <v>2</v>
      </c>
      <c r="D17" s="5" t="s">
        <v>5</v>
      </c>
      <c r="F17" t="s">
        <v>33</v>
      </c>
      <c r="G17" s="1" t="str">
        <f>IF(SUM($K$7:$K$14)=0,"No votes yet",INDEX($F$7:$F$14,MATCH(MAX($K$7:$K$14),$K$7:$K$14,0)))</f>
        <v>Look it’s a Giraffe!</v>
      </c>
    </row>
    <row r="18" spans="1:7" x14ac:dyDescent="0.4">
      <c r="A18" t="s">
        <v>19</v>
      </c>
      <c r="B18" s="5" t="s">
        <v>2</v>
      </c>
      <c r="C18" s="5" t="s">
        <v>8</v>
      </c>
      <c r="D18" s="5" t="s">
        <v>5</v>
      </c>
      <c r="F18" t="s">
        <v>34</v>
      </c>
      <c r="G18">
        <f>MAX($K$7:$K$14)</f>
        <v>22</v>
      </c>
    </row>
    <row r="19" spans="1:7" x14ac:dyDescent="0.4">
      <c r="A19" t="s">
        <v>20</v>
      </c>
      <c r="B19" s="5" t="s">
        <v>8</v>
      </c>
      <c r="C19" s="5" t="s">
        <v>2</v>
      </c>
      <c r="D19" s="5" t="s">
        <v>1</v>
      </c>
      <c r="F19" t="s">
        <v>35</v>
      </c>
      <c r="G19">
        <f>COUNTA($B$12:$B$20)</f>
        <v>9</v>
      </c>
    </row>
    <row r="20" spans="1:7" x14ac:dyDescent="0.4">
      <c r="A20" t="s">
        <v>21</v>
      </c>
      <c r="B20" s="5" t="s">
        <v>8</v>
      </c>
      <c r="C20" s="5" t="s">
        <v>4</v>
      </c>
      <c r="D20" s="5" t="s">
        <v>2</v>
      </c>
      <c r="F20" t="s">
        <v>36</v>
      </c>
      <c r="G20" t="str">
        <f>IF(SUM($K$7:$K$14)=0,"-",IF(COUNTIF($K$7:$K$14,MAX($K$7:$K$14))&gt;1,"YES - "&amp;COUNTIF($K$7:$K$14,MAX($K$7:$K$14))&amp;" names tied","No"))</f>
        <v>No</v>
      </c>
    </row>
  </sheetData>
  <conditionalFormatting sqref="F7:L14">
    <cfRule type="expression" dxfId="0" priority="1">
      <formula>AND($K7&gt;0,$K7=MAX($K$7:$K$14))</formula>
    </cfRule>
  </conditionalFormatting>
  <dataValidations count="1">
    <dataValidation type="list" allowBlank="1" showInputMessage="1" showErrorMessage="1" errorTitle="Invalid name" error="Pick a name from the list." sqref="B12:D20" xr:uid="{65578AA5-99D2-42FC-9F1E-B80468DF5DA3}">
      <formula1>$A$2:$A$9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69E0-7253-4B0E-ACE3-AFF549EE600B}">
  <dimension ref="B2:D16"/>
  <sheetViews>
    <sheetView showGridLines="0" workbookViewId="0">
      <selection activeCell="I16" sqref="I16"/>
    </sheetView>
  </sheetViews>
  <sheetFormatPr defaultRowHeight="14.6" x14ac:dyDescent="0.4"/>
  <cols>
    <col min="2" max="2" width="50.61328125" customWidth="1"/>
    <col min="3" max="3" width="15.4609375" bestFit="1" customWidth="1"/>
    <col min="4" max="4" width="6.07421875" bestFit="1" customWidth="1"/>
  </cols>
  <sheetData>
    <row r="2" spans="2:4" ht="26.15" x14ac:dyDescent="0.7">
      <c r="B2" s="6" t="s">
        <v>37</v>
      </c>
    </row>
    <row r="4" spans="2:4" ht="34.75" x14ac:dyDescent="0.95">
      <c r="B4" s="7" t="str">
        <f>"Our team name is: "&amp;Sheet1!G17</f>
        <v>Our team name is: Look it’s a Giraffe!</v>
      </c>
    </row>
    <row r="6" spans="2:4" ht="43.75" customHeight="1" x14ac:dyDescent="0.4">
      <c r="B6" s="8" t="str">
        <f>"All "&amp;Sheet1!G19&amp;" of you ranked your top three. We scored the ballots 3-2-1, and one name stuck its neck out early and never looked back."</f>
        <v>All 9 of you ranked your top three. We scored the ballots 3-2-1, and one name stuck its neck out early and never looked back.</v>
      </c>
      <c r="C6" s="8"/>
      <c r="D6" s="8"/>
    </row>
    <row r="7" spans="2:4" ht="29.15" customHeight="1" x14ac:dyDescent="0.4">
      <c r="B7" s="8" t="str">
        <f>Sheet1!G17&amp;" took "&amp;Sheet1!G14&amp;" of "&amp;Sheet1!G19&amp;" first-place votes and finished with "&amp;Sheet1!G18&amp;" points - a clear win, no tiebreaker needed."</f>
        <v>Look it’s a Giraffe! took 6 of 9 first-place votes and finished with 22 points - a clear win, no tiebreaker needed.</v>
      </c>
      <c r="C7" s="8"/>
      <c r="D7" s="8"/>
    </row>
    <row r="9" spans="2:4" x14ac:dyDescent="0.4">
      <c r="B9" s="1" t="s">
        <v>38</v>
      </c>
    </row>
    <row r="10" spans="2:4" x14ac:dyDescent="0.4">
      <c r="B10" s="2" t="s">
        <v>31</v>
      </c>
      <c r="C10" s="2" t="s">
        <v>39</v>
      </c>
      <c r="D10" s="2" t="s">
        <v>30</v>
      </c>
    </row>
    <row r="11" spans="2:4" x14ac:dyDescent="0.4">
      <c r="B11" t="s">
        <v>26</v>
      </c>
      <c r="C11" t="str">
        <f>INDEX(Sheet1!$F$7:$F$14,MATCH(LARGE(Sheet1!$K$7:$K$14,ROW()-10),Sheet1!$K$7:$K$14,0))</f>
        <v>Look it’s a Giraffe!</v>
      </c>
      <c r="D11">
        <f>LARGE(Sheet1!$K$7:$K$14,ROW()-10)</f>
        <v>22</v>
      </c>
    </row>
    <row r="12" spans="2:4" x14ac:dyDescent="0.4">
      <c r="B12" t="s">
        <v>27</v>
      </c>
      <c r="C12" t="str">
        <f>INDEX(Sheet1!$F$7:$F$14,MATCH(LARGE(Sheet1!$K$7:$K$14,ROW()-10),Sheet1!$K$7:$K$14,0))</f>
        <v>Hipoduckalruses</v>
      </c>
      <c r="D12">
        <f>LARGE(Sheet1!$K$7:$K$14,ROW()-10)</f>
        <v>17</v>
      </c>
    </row>
    <row r="13" spans="2:4" x14ac:dyDescent="0.4">
      <c r="B13" t="s">
        <v>28</v>
      </c>
      <c r="C13" t="str">
        <f>INDEX(Sheet1!$F$7:$F$14,MATCH(LARGE(Sheet1!$K$7:$K$14,ROW()-10),Sheet1!$K$7:$K$14,0))</f>
        <v>Kanadian Koalas</v>
      </c>
      <c r="D13">
        <f>LARGE(Sheet1!$K$7:$K$14,ROW()-10)</f>
        <v>8</v>
      </c>
    </row>
    <row r="15" spans="2:4" ht="43.75" customHeight="1" x14ac:dyDescent="0.4">
      <c r="B15" s="8" t="str">
        <f>"Honourable mentions to everyone else on the shortlist, and a moment of silence for the names that received zero votes of any kind."</f>
        <v>Honourable mentions to everyone else on the shortlist, and a moment of silence for the names that received zero votes of any kind.</v>
      </c>
      <c r="C15" s="8"/>
      <c r="D15" s="8"/>
    </row>
    <row r="16" spans="2:4" ht="29.15" customHeight="1" x14ac:dyDescent="0.4">
      <c r="B16" s="8" t="s">
        <v>40</v>
      </c>
      <c r="C16" s="8"/>
      <c r="D16" s="8"/>
    </row>
  </sheetData>
  <mergeCells count="4">
    <mergeCell ref="B6:D6"/>
    <mergeCell ref="B7:D7"/>
    <mergeCell ref="B15:D15"/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Announcement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Leigh</dc:creator>
  <cp:lastModifiedBy>Chris Leigh</cp:lastModifiedBy>
  <dcterms:created xsi:type="dcterms:W3CDTF">2026-09-15T11:54:18Z</dcterms:created>
  <dcterms:modified xsi:type="dcterms:W3CDTF">2026-09-17T19:21:22Z</dcterms:modified>
</cp:coreProperties>
</file>